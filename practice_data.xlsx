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128826\Desktop\"/>
    </mc:Choice>
  </mc:AlternateContent>
  <xr:revisionPtr revIDLastSave="0" documentId="13_ncr:1_{CA0C943C-3299-467A-924E-E0C8853CA772}" xr6:coauthVersionLast="47" xr6:coauthVersionMax="47" xr10:uidLastSave="{00000000-0000-0000-0000-000000000000}"/>
  <bookViews>
    <workbookView xWindow="38280" yWindow="-120" windowWidth="38640" windowHeight="21120" tabRatio="804" activeTab="5" xr2:uid="{798276D3-6AFF-461D-B7C2-7687FF4E5613}"/>
  </bookViews>
  <sheets>
    <sheet name="E1" sheetId="78" r:id="rId1"/>
    <sheet name="E3" sheetId="79" r:id="rId2"/>
    <sheet name="E5" sheetId="80" r:id="rId3"/>
    <sheet name="E6" sheetId="81" r:id="rId4"/>
    <sheet name="E7" sheetId="82" r:id="rId5"/>
    <sheet name="E8" sheetId="8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8" i="83" l="1"/>
  <c r="AE18" i="83"/>
  <c r="AD18" i="83"/>
  <c r="AC18" i="83"/>
  <c r="AB18" i="83"/>
  <c r="AA18" i="83"/>
  <c r="Y18" i="83"/>
  <c r="X18" i="83"/>
  <c r="W18" i="83"/>
  <c r="V18" i="83"/>
  <c r="U18" i="83"/>
  <c r="T18" i="83"/>
  <c r="S18" i="83"/>
  <c r="R18" i="83"/>
  <c r="Q18" i="83"/>
  <c r="P18" i="83"/>
  <c r="O18" i="83"/>
  <c r="N18" i="83"/>
  <c r="M18" i="83"/>
  <c r="L18" i="83"/>
  <c r="K18" i="83"/>
  <c r="J18" i="83"/>
  <c r="I18" i="83"/>
  <c r="H18" i="83"/>
  <c r="G18" i="83"/>
  <c r="F18" i="83"/>
  <c r="E18" i="83"/>
  <c r="D18" i="83"/>
  <c r="C18" i="83"/>
  <c r="AF17" i="83"/>
  <c r="AE17" i="83"/>
  <c r="AD17" i="83"/>
  <c r="AC17" i="83"/>
  <c r="AB17" i="83"/>
  <c r="AA17" i="83"/>
  <c r="Y17" i="83"/>
  <c r="X17" i="83"/>
  <c r="W17" i="83"/>
  <c r="V17" i="83"/>
  <c r="U17" i="83"/>
  <c r="T17" i="83"/>
  <c r="S17" i="83"/>
  <c r="R17" i="83"/>
  <c r="Q17" i="83"/>
  <c r="P17" i="83"/>
  <c r="O17" i="83"/>
  <c r="N17" i="83"/>
  <c r="M17" i="83"/>
  <c r="L17" i="83"/>
  <c r="K17" i="83"/>
  <c r="J17" i="83"/>
  <c r="I17" i="83"/>
  <c r="H17" i="83"/>
  <c r="G17" i="83"/>
  <c r="F17" i="83"/>
  <c r="E17" i="83"/>
  <c r="D17" i="83"/>
  <c r="C17" i="83"/>
  <c r="AF16" i="83"/>
  <c r="AE16" i="83"/>
  <c r="AD16" i="83"/>
  <c r="AC16" i="83"/>
  <c r="AB16" i="83"/>
  <c r="AA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C16" i="83"/>
  <c r="AF15" i="83"/>
  <c r="AE15" i="83"/>
  <c r="AD15" i="83"/>
  <c r="AC15" i="83"/>
  <c r="AB15" i="83"/>
  <c r="AA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G15" i="83"/>
  <c r="F15" i="83"/>
  <c r="E15" i="83"/>
  <c r="D15" i="83"/>
  <c r="C15" i="83"/>
  <c r="E6" i="83"/>
  <c r="E5" i="83"/>
  <c r="E7" i="83" s="1"/>
  <c r="AF18" i="82" l="1"/>
  <c r="AE18" i="82"/>
  <c r="AD18" i="82"/>
  <c r="AC18" i="82"/>
  <c r="AB18" i="82"/>
  <c r="Y18" i="82"/>
  <c r="X18" i="82"/>
  <c r="W18" i="82"/>
  <c r="V18" i="82"/>
  <c r="U18" i="82"/>
  <c r="T18" i="82"/>
  <c r="S18" i="82"/>
  <c r="R18" i="82"/>
  <c r="Q18" i="82"/>
  <c r="P18" i="82"/>
  <c r="O18" i="82"/>
  <c r="N18" i="82"/>
  <c r="M18" i="82"/>
  <c r="L18" i="82"/>
  <c r="K18" i="82"/>
  <c r="J18" i="82"/>
  <c r="I18" i="82"/>
  <c r="H18" i="82"/>
  <c r="G18" i="82"/>
  <c r="F18" i="82"/>
  <c r="E18" i="82"/>
  <c r="D18" i="82"/>
  <c r="C18" i="82"/>
  <c r="AF17" i="82"/>
  <c r="AE17" i="82"/>
  <c r="AD17" i="82"/>
  <c r="AC17" i="82"/>
  <c r="AB17" i="82"/>
  <c r="Y17" i="82"/>
  <c r="X17" i="82"/>
  <c r="W17" i="82"/>
  <c r="V17" i="82"/>
  <c r="U17" i="82"/>
  <c r="T17" i="82"/>
  <c r="S17" i="82"/>
  <c r="R17" i="82"/>
  <c r="Q17" i="82"/>
  <c r="P17" i="82"/>
  <c r="O17" i="82"/>
  <c r="N17" i="82"/>
  <c r="M17" i="82"/>
  <c r="L17" i="82"/>
  <c r="K17" i="82"/>
  <c r="J17" i="82"/>
  <c r="I17" i="82"/>
  <c r="H17" i="82"/>
  <c r="G17" i="82"/>
  <c r="F17" i="82"/>
  <c r="E17" i="82"/>
  <c r="D17" i="82"/>
  <c r="C17" i="82"/>
  <c r="AF16" i="82"/>
  <c r="AE16" i="82"/>
  <c r="AD16" i="82"/>
  <c r="AC16" i="82"/>
  <c r="AB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F16" i="82"/>
  <c r="E16" i="82"/>
  <c r="D16" i="82"/>
  <c r="C16" i="82"/>
  <c r="AF15" i="82"/>
  <c r="AE15" i="82"/>
  <c r="AD15" i="82"/>
  <c r="AC15" i="82"/>
  <c r="AB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H15" i="82"/>
  <c r="G15" i="82"/>
  <c r="F15" i="82"/>
  <c r="E15" i="82"/>
  <c r="D15" i="82"/>
  <c r="C15" i="82"/>
  <c r="E6" i="82"/>
  <c r="E5" i="82"/>
  <c r="AF18" i="81"/>
  <c r="AE18" i="81"/>
  <c r="AD18" i="81"/>
  <c r="AC18" i="81"/>
  <c r="AB18" i="81"/>
  <c r="AA18" i="81"/>
  <c r="Y18" i="81"/>
  <c r="X18" i="81"/>
  <c r="W18" i="81"/>
  <c r="V18" i="81"/>
  <c r="U18" i="81"/>
  <c r="T18" i="81"/>
  <c r="S18" i="81"/>
  <c r="R18" i="81"/>
  <c r="Q18" i="81"/>
  <c r="P18" i="81"/>
  <c r="O18" i="81"/>
  <c r="N18" i="81"/>
  <c r="M18" i="81"/>
  <c r="L18" i="81"/>
  <c r="K18" i="81"/>
  <c r="J18" i="81"/>
  <c r="I18" i="81"/>
  <c r="H18" i="81"/>
  <c r="G18" i="81"/>
  <c r="F18" i="81"/>
  <c r="E18" i="81"/>
  <c r="D18" i="81"/>
  <c r="C18" i="81"/>
  <c r="AF17" i="81"/>
  <c r="AE17" i="81"/>
  <c r="AD17" i="81"/>
  <c r="AC17" i="81"/>
  <c r="AB17" i="81"/>
  <c r="AA17" i="81"/>
  <c r="Y17" i="81"/>
  <c r="X17" i="81"/>
  <c r="W17" i="81"/>
  <c r="V17" i="81"/>
  <c r="U17" i="81"/>
  <c r="T17" i="81"/>
  <c r="S17" i="81"/>
  <c r="R17" i="81"/>
  <c r="Q17" i="81"/>
  <c r="P17" i="81"/>
  <c r="O17" i="81"/>
  <c r="N17" i="81"/>
  <c r="M17" i="81"/>
  <c r="L17" i="81"/>
  <c r="K17" i="81"/>
  <c r="J17" i="81"/>
  <c r="I17" i="81"/>
  <c r="H17" i="81"/>
  <c r="G17" i="81"/>
  <c r="F17" i="81"/>
  <c r="E17" i="81"/>
  <c r="D17" i="81"/>
  <c r="C17" i="81"/>
  <c r="AF16" i="81"/>
  <c r="AE16" i="81"/>
  <c r="AD16" i="81"/>
  <c r="AC16" i="81"/>
  <c r="AB16" i="81"/>
  <c r="AA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AF15" i="81"/>
  <c r="AE15" i="81"/>
  <c r="AD15" i="81"/>
  <c r="AC15" i="81"/>
  <c r="AB15" i="81"/>
  <c r="AA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D15" i="81"/>
  <c r="C15" i="81"/>
  <c r="E6" i="81"/>
  <c r="E5" i="81"/>
  <c r="E7" i="81" s="1"/>
  <c r="E7" i="82" l="1"/>
  <c r="AF18" i="80"/>
  <c r="AE18" i="80"/>
  <c r="AD18" i="80"/>
  <c r="AC18" i="80"/>
  <c r="AB18" i="80"/>
  <c r="AA18" i="80"/>
  <c r="Y18" i="80"/>
  <c r="X18" i="80"/>
  <c r="W18" i="80"/>
  <c r="V18" i="80"/>
  <c r="U18" i="80"/>
  <c r="T18" i="80"/>
  <c r="S18" i="80"/>
  <c r="R18" i="80"/>
  <c r="Q18" i="80"/>
  <c r="P18" i="80"/>
  <c r="O18" i="80"/>
  <c r="N18" i="80"/>
  <c r="M18" i="80"/>
  <c r="L18" i="80"/>
  <c r="K18" i="80"/>
  <c r="J18" i="80"/>
  <c r="I18" i="80"/>
  <c r="H18" i="80"/>
  <c r="G18" i="80"/>
  <c r="F18" i="80"/>
  <c r="E18" i="80"/>
  <c r="D18" i="80"/>
  <c r="C18" i="80"/>
  <c r="AF17" i="80"/>
  <c r="AE17" i="80"/>
  <c r="AD17" i="80"/>
  <c r="AC17" i="80"/>
  <c r="AB17" i="80"/>
  <c r="AA17" i="80"/>
  <c r="Y17" i="80"/>
  <c r="X17" i="80"/>
  <c r="W17" i="80"/>
  <c r="V17" i="80"/>
  <c r="U17" i="80"/>
  <c r="T17" i="80"/>
  <c r="S17" i="80"/>
  <c r="R17" i="80"/>
  <c r="Q17" i="80"/>
  <c r="P17" i="80"/>
  <c r="O17" i="80"/>
  <c r="N17" i="80"/>
  <c r="M17" i="80"/>
  <c r="L17" i="80"/>
  <c r="K17" i="80"/>
  <c r="J17" i="80"/>
  <c r="I17" i="80"/>
  <c r="H17" i="80"/>
  <c r="G17" i="80"/>
  <c r="F17" i="80"/>
  <c r="E17" i="80"/>
  <c r="D17" i="80"/>
  <c r="C17" i="80"/>
  <c r="AF16" i="80"/>
  <c r="AE16" i="80"/>
  <c r="AD16" i="80"/>
  <c r="AC16" i="80"/>
  <c r="AB16" i="80"/>
  <c r="AA16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AF15" i="80"/>
  <c r="AE15" i="80"/>
  <c r="AD15" i="80"/>
  <c r="AC15" i="80"/>
  <c r="AB15" i="80"/>
  <c r="AA15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H15" i="80"/>
  <c r="G15" i="80"/>
  <c r="F15" i="80"/>
  <c r="E15" i="80"/>
  <c r="D15" i="80"/>
  <c r="C15" i="80"/>
  <c r="E6" i="80"/>
  <c r="E5" i="80"/>
  <c r="E7" i="80" s="1"/>
  <c r="AF18" i="79"/>
  <c r="AE18" i="79"/>
  <c r="AD18" i="79"/>
  <c r="AC18" i="79"/>
  <c r="AB18" i="79"/>
  <c r="AA18" i="79"/>
  <c r="Y18" i="79"/>
  <c r="X18" i="79"/>
  <c r="W18" i="79"/>
  <c r="V18" i="79"/>
  <c r="U18" i="79"/>
  <c r="T18" i="79"/>
  <c r="S18" i="79"/>
  <c r="R18" i="79"/>
  <c r="Q18" i="79"/>
  <c r="P18" i="79"/>
  <c r="O18" i="79"/>
  <c r="N18" i="79"/>
  <c r="M18" i="79"/>
  <c r="L18" i="79"/>
  <c r="K18" i="79"/>
  <c r="J18" i="79"/>
  <c r="I18" i="79"/>
  <c r="H18" i="79"/>
  <c r="G18" i="79"/>
  <c r="F18" i="79"/>
  <c r="E18" i="79"/>
  <c r="D18" i="79"/>
  <c r="C18" i="79"/>
  <c r="AF17" i="79"/>
  <c r="AE17" i="79"/>
  <c r="AD17" i="79"/>
  <c r="AC17" i="79"/>
  <c r="AB17" i="79"/>
  <c r="AA17" i="79"/>
  <c r="Y17" i="79"/>
  <c r="X17" i="79"/>
  <c r="W17" i="79"/>
  <c r="V17" i="79"/>
  <c r="U17" i="79"/>
  <c r="T17" i="79"/>
  <c r="S17" i="79"/>
  <c r="R17" i="79"/>
  <c r="Q17" i="79"/>
  <c r="P17" i="79"/>
  <c r="O17" i="79"/>
  <c r="N17" i="79"/>
  <c r="M17" i="79"/>
  <c r="L17" i="79"/>
  <c r="K17" i="79"/>
  <c r="J17" i="79"/>
  <c r="I17" i="79"/>
  <c r="H17" i="79"/>
  <c r="G17" i="79"/>
  <c r="F17" i="79"/>
  <c r="E17" i="79"/>
  <c r="D17" i="79"/>
  <c r="C17" i="79"/>
  <c r="AF16" i="79"/>
  <c r="AE16" i="79"/>
  <c r="AD16" i="79"/>
  <c r="AC16" i="79"/>
  <c r="AB16" i="79"/>
  <c r="AA16" i="79"/>
  <c r="Y16" i="79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H16" i="79"/>
  <c r="G16" i="79"/>
  <c r="F16" i="79"/>
  <c r="E16" i="79"/>
  <c r="D16" i="79"/>
  <c r="C16" i="79"/>
  <c r="AF15" i="79"/>
  <c r="AE15" i="79"/>
  <c r="AD15" i="79"/>
  <c r="AC15" i="79"/>
  <c r="AB15" i="79"/>
  <c r="AA15" i="79"/>
  <c r="Y15" i="79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H15" i="79"/>
  <c r="G15" i="79"/>
  <c r="F15" i="79"/>
  <c r="E15" i="79"/>
  <c r="D15" i="79"/>
  <c r="C15" i="79"/>
  <c r="E6" i="79"/>
  <c r="E5" i="79"/>
  <c r="AF18" i="78"/>
  <c r="AE18" i="78"/>
  <c r="AD18" i="78"/>
  <c r="AC18" i="78"/>
  <c r="AB18" i="78"/>
  <c r="AA18" i="78"/>
  <c r="Y18" i="78"/>
  <c r="X18" i="78"/>
  <c r="W18" i="78"/>
  <c r="V18" i="78"/>
  <c r="U18" i="78"/>
  <c r="T18" i="78"/>
  <c r="S18" i="78"/>
  <c r="R18" i="78"/>
  <c r="Q18" i="78"/>
  <c r="P18" i="78"/>
  <c r="O18" i="78"/>
  <c r="N18" i="78"/>
  <c r="M18" i="78"/>
  <c r="L18" i="78"/>
  <c r="K18" i="78"/>
  <c r="J18" i="78"/>
  <c r="I18" i="78"/>
  <c r="H18" i="78"/>
  <c r="G18" i="78"/>
  <c r="F18" i="78"/>
  <c r="E18" i="78"/>
  <c r="D18" i="78"/>
  <c r="C18" i="78"/>
  <c r="AF17" i="78"/>
  <c r="AE17" i="78"/>
  <c r="AD17" i="78"/>
  <c r="AC17" i="78"/>
  <c r="AB17" i="78"/>
  <c r="AA17" i="78"/>
  <c r="Y17" i="78"/>
  <c r="X17" i="78"/>
  <c r="W17" i="78"/>
  <c r="V17" i="78"/>
  <c r="U17" i="78"/>
  <c r="T17" i="78"/>
  <c r="S17" i="78"/>
  <c r="R17" i="78"/>
  <c r="Q17" i="78"/>
  <c r="P17" i="78"/>
  <c r="O17" i="78"/>
  <c r="N17" i="78"/>
  <c r="M17" i="78"/>
  <c r="L17" i="78"/>
  <c r="K17" i="78"/>
  <c r="J17" i="78"/>
  <c r="I17" i="78"/>
  <c r="H17" i="78"/>
  <c r="G17" i="78"/>
  <c r="F17" i="78"/>
  <c r="E17" i="78"/>
  <c r="D17" i="78"/>
  <c r="C17" i="78"/>
  <c r="AF16" i="78"/>
  <c r="AE16" i="78"/>
  <c r="AD16" i="78"/>
  <c r="AC16" i="78"/>
  <c r="AB16" i="78"/>
  <c r="AA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H16" i="78"/>
  <c r="G16" i="78"/>
  <c r="F16" i="78"/>
  <c r="E16" i="78"/>
  <c r="D16" i="78"/>
  <c r="C16" i="78"/>
  <c r="AF15" i="78"/>
  <c r="AE15" i="78"/>
  <c r="AD15" i="78"/>
  <c r="AC15" i="78"/>
  <c r="AB15" i="78"/>
  <c r="AA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H15" i="78"/>
  <c r="G15" i="78"/>
  <c r="F15" i="78"/>
  <c r="E15" i="78"/>
  <c r="D15" i="78"/>
  <c r="C15" i="78"/>
  <c r="E6" i="78"/>
  <c r="E5" i="78"/>
  <c r="E7" i="78" s="1"/>
  <c r="E7" i="79" l="1"/>
</calcChain>
</file>

<file path=xl/sharedStrings.xml><?xml version="1.0" encoding="utf-8"?>
<sst xmlns="http://schemas.openxmlformats.org/spreadsheetml/2006/main" count="858" uniqueCount="95">
  <si>
    <t>uA</t>
  </si>
  <si>
    <t>Job #</t>
  </si>
  <si>
    <t>Part #</t>
  </si>
  <si>
    <t>Mfg #</t>
  </si>
  <si>
    <t>Package</t>
  </si>
  <si>
    <t>Test Temp</t>
  </si>
  <si>
    <t>Device No</t>
  </si>
  <si>
    <t>BIN</t>
  </si>
  <si>
    <t>1.03.01</t>
  </si>
  <si>
    <t>1.04.01</t>
  </si>
  <si>
    <t>1.05.01</t>
  </si>
  <si>
    <t>1.06.01</t>
  </si>
  <si>
    <t>1.07.01</t>
  </si>
  <si>
    <t>1.08.01</t>
  </si>
  <si>
    <t>Max Limit</t>
  </si>
  <si>
    <t>none</t>
  </si>
  <si>
    <t>Min Limit</t>
  </si>
  <si>
    <t>Min reading</t>
  </si>
  <si>
    <t>Max reading</t>
  </si>
  <si>
    <t>Avg reading</t>
  </si>
  <si>
    <t>Std deviation</t>
  </si>
  <si>
    <t>1.19.01</t>
  </si>
  <si>
    <t>1.18.01</t>
  </si>
  <si>
    <t>1.17.01</t>
  </si>
  <si>
    <t>1.16.01</t>
  </si>
  <si>
    <t>1.15.01</t>
  </si>
  <si>
    <t>1.14.01</t>
  </si>
  <si>
    <t>1.13.01</t>
  </si>
  <si>
    <t>1.12.01</t>
  </si>
  <si>
    <t>1.10.01</t>
  </si>
  <si>
    <t>1.09.01</t>
  </si>
  <si>
    <t># Failed</t>
  </si>
  <si>
    <t># Passed</t>
  </si>
  <si>
    <t># Tested</t>
  </si>
  <si>
    <t>TPR</t>
  </si>
  <si>
    <t>ASL1K</t>
  </si>
  <si>
    <t>Tester:</t>
  </si>
  <si>
    <t>1.15.02</t>
  </si>
  <si>
    <t>1.11.01</t>
  </si>
  <si>
    <t>1.06.02</t>
  </si>
  <si>
    <t>01/14/25 15:59:16</t>
  </si>
  <si>
    <t>191558_14_16_18</t>
  </si>
  <si>
    <t>SQ4182EY-T1_BE3</t>
  </si>
  <si>
    <t>22257 Rev B (+25C_-55C_+100C) No Version#</t>
  </si>
  <si>
    <t>8_SOIC</t>
  </si>
  <si>
    <t>+25C_-55C_+100C</t>
  </si>
  <si>
    <t>Temperature</t>
  </si>
  <si>
    <t>V(BR)DSS Func</t>
  </si>
  <si>
    <t>VGS(TH)</t>
  </si>
  <si>
    <t>VSD</t>
  </si>
  <si>
    <t>IGSSF</t>
  </si>
  <si>
    <t>IGSSR</t>
  </si>
  <si>
    <t>IDSS</t>
  </si>
  <si>
    <t>rDS(on)1</t>
  </si>
  <si>
    <t>rDS(on)2</t>
  </si>
  <si>
    <t>RG</t>
  </si>
  <si>
    <t>1.01.01</t>
  </si>
  <si>
    <t>1.20.01</t>
  </si>
  <si>
    <t>1.21.01</t>
  </si>
  <si>
    <t>1.22.01</t>
  </si>
  <si>
    <t>1.23.01</t>
  </si>
  <si>
    <t>1.23.02</t>
  </si>
  <si>
    <t>1.24.01</t>
  </si>
  <si>
    <t>1.25.01</t>
  </si>
  <si>
    <t>1.26.01</t>
  </si>
  <si>
    <t>1.27.01</t>
  </si>
  <si>
    <t>VDS=30_ID=250u</t>
  </si>
  <si>
    <t>ID=250u</t>
  </si>
  <si>
    <t>IF=10A_VGS=0</t>
  </si>
  <si>
    <t>VGS=20V</t>
  </si>
  <si>
    <t>VDS=30_VGS=0V</t>
  </si>
  <si>
    <t>VGS=10V_ID=14A</t>
  </si>
  <si>
    <t>VGS=4.5V_ID=10A</t>
  </si>
  <si>
    <t>VDS=30V_ID=250u</t>
  </si>
  <si>
    <t>ID=</t>
  </si>
  <si>
    <t>VGS=10V ID=14A</t>
  </si>
  <si>
    <t>VGS=4.5V ID=10A</t>
  </si>
  <si>
    <t xml:space="preserve"> C</t>
  </si>
  <si>
    <t xml:space="preserve"> P/F</t>
  </si>
  <si>
    <t xml:space="preserve"> V</t>
  </si>
  <si>
    <t>nA</t>
  </si>
  <si>
    <t>mOhm</t>
  </si>
  <si>
    <t xml:space="preserve"> ohm</t>
  </si>
  <si>
    <t>04/19/25 21:16:49</t>
  </si>
  <si>
    <t>191558_102_104_106</t>
  </si>
  <si>
    <t>05/20/25 18:00:15</t>
  </si>
  <si>
    <t>191558_167_169_171</t>
  </si>
  <si>
    <t>07/14/25 22:19:25</t>
  </si>
  <si>
    <t>191558_194_04_194_05_194_06</t>
  </si>
  <si>
    <t>22257 Rev C (+25C_-55C_+100C) No Version#</t>
  </si>
  <si>
    <t>ID=250uA</t>
  </si>
  <si>
    <t>08/25/25 19:48:29</t>
  </si>
  <si>
    <t>191558_234_236_238</t>
  </si>
  <si>
    <t>09/08/25 22:47:58</t>
  </si>
  <si>
    <t>191558_267_269_271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</si>
</sst>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2" borderId="0" xfId="0" applyFont="1" applyFill="1"/>
  </cellXfs>
  <cellStyles count="9">
    <cellStyle name="Comma [0] 2" xfId="6" xr:uid="{EF56BA20-7B64-466F-8361-CEB60DB904B9}"/>
    <cellStyle name="Comma 2" xfId="5" xr:uid="{1F3117D3-3112-4A55-B44C-B6E886AC123B}"/>
    <cellStyle name="Comma 3" xfId="8" xr:uid="{6B8F636E-1992-4519-AC9A-FD38BD8B9BD0}"/>
    <cellStyle name="Currency [0] 2" xfId="4" xr:uid="{8A3F9081-AC85-45C6-A0C8-25D0D4F4AC7D}"/>
    <cellStyle name="Currency 2" xfId="3" xr:uid="{34F91C58-3E63-4332-B592-FB825A3D1BDC}"/>
    <cellStyle name="Currency 3" xfId="7" xr:uid="{CB4C6CA5-887F-4596-92D6-E77A46118DFC}"/>
    <cellStyle name="Normal" xfId="0" builtinId="0"/>
    <cellStyle name="Normal 2" xfId="1" xr:uid="{211A5E65-D2D0-4E26-B042-AC78D5BBCE59}"/>
    <cellStyle name="Percent 2" xfId="2" xr:uid="{7F0028E8-1ECF-4F00-AB17-ECFDFE5A4AF7}"/>
  </cellStyles>
  <dxfs count="4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BA9A-1213-4439-B99C-0D15A91C34AB}">
  <dimension ref="A1:AF159"/>
  <sheetViews>
    <sheetView workbookViewId="0">
      <pane ySplit="18" topLeftCell="A31" activePane="bottomLeft" state="frozen"/>
      <selection activeCell="G45" sqref="G45"/>
      <selection pane="bottomLeft" activeCell="D41" sqref="D41"/>
    </sheetView>
  </sheetViews>
  <sheetFormatPr defaultColWidth="9.140625" defaultRowHeight="11.25" x14ac:dyDescent="0.2"/>
  <cols>
    <col min="1" max="1" width="9.140625" style="1" customWidth="1"/>
    <col min="2" max="16384" width="9.140625" style="1"/>
  </cols>
  <sheetData>
    <row r="1" spans="1:32" x14ac:dyDescent="0.2">
      <c r="C1" s="1" t="s">
        <v>40</v>
      </c>
    </row>
    <row r="3" spans="1:32" s="2" customFormat="1" x14ac:dyDescent="0.2">
      <c r="A3" s="2" t="s">
        <v>1</v>
      </c>
      <c r="B3" s="2" t="s">
        <v>41</v>
      </c>
      <c r="D3" s="2" t="s">
        <v>36</v>
      </c>
      <c r="E3" s="2" t="s">
        <v>35</v>
      </c>
    </row>
    <row r="4" spans="1:32" s="2" customFormat="1" x14ac:dyDescent="0.2">
      <c r="A4" s="2" t="s">
        <v>2</v>
      </c>
      <c r="B4" s="2" t="s">
        <v>42</v>
      </c>
      <c r="D4" s="2" t="s">
        <v>34</v>
      </c>
      <c r="E4" s="2" t="s">
        <v>43</v>
      </c>
    </row>
    <row r="5" spans="1:32" s="2" customFormat="1" x14ac:dyDescent="0.2">
      <c r="A5" s="2" t="s">
        <v>3</v>
      </c>
      <c r="B5" s="2" t="s">
        <v>42</v>
      </c>
      <c r="D5" s="2" t="s">
        <v>33</v>
      </c>
      <c r="E5" s="2">
        <f>COUNT(B19:B159)</f>
        <v>141</v>
      </c>
    </row>
    <row r="6" spans="1:32" s="2" customFormat="1" x14ac:dyDescent="0.2">
      <c r="A6" s="2" t="s">
        <v>4</v>
      </c>
      <c r="B6" s="2" t="s">
        <v>44</v>
      </c>
      <c r="D6" s="2" t="s">
        <v>32</v>
      </c>
      <c r="E6" s="2">
        <f>SUMIF(B19:B159,1)</f>
        <v>141</v>
      </c>
    </row>
    <row r="7" spans="1:32" s="2" customFormat="1" x14ac:dyDescent="0.2">
      <c r="A7" s="2" t="s">
        <v>5</v>
      </c>
      <c r="B7" s="3" t="s">
        <v>45</v>
      </c>
      <c r="D7" s="2" t="s">
        <v>31</v>
      </c>
      <c r="E7" s="2">
        <f>E5-E6</f>
        <v>0</v>
      </c>
    </row>
    <row r="9" spans="1:32" x14ac:dyDescent="0.2"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54</v>
      </c>
      <c r="L9" s="1" t="s">
        <v>55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54</v>
      </c>
      <c r="V9" s="1" t="s">
        <v>55</v>
      </c>
      <c r="W9" s="1" t="s">
        <v>46</v>
      </c>
      <c r="X9" s="1" t="s">
        <v>47</v>
      </c>
      <c r="Y9" s="1" t="s">
        <v>48</v>
      </c>
      <c r="Z9" s="4" t="s">
        <v>49</v>
      </c>
      <c r="AA9" s="1" t="s">
        <v>50</v>
      </c>
      <c r="AB9" s="1" t="s">
        <v>51</v>
      </c>
      <c r="AC9" s="1" t="s">
        <v>52</v>
      </c>
      <c r="AD9" s="1" t="s">
        <v>53</v>
      </c>
      <c r="AE9" s="1" t="s">
        <v>54</v>
      </c>
      <c r="AF9" s="1" t="s">
        <v>55</v>
      </c>
    </row>
    <row r="10" spans="1:32" x14ac:dyDescent="0.2">
      <c r="A10" s="2" t="s">
        <v>6</v>
      </c>
      <c r="B10" s="2" t="s">
        <v>7</v>
      </c>
      <c r="C10" s="1" t="s">
        <v>56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39</v>
      </c>
      <c r="I10" s="1" t="s">
        <v>12</v>
      </c>
      <c r="J10" s="1" t="s">
        <v>13</v>
      </c>
      <c r="K10" s="1" t="s">
        <v>30</v>
      </c>
      <c r="L10" s="1" t="s">
        <v>29</v>
      </c>
      <c r="M10" s="1" t="s">
        <v>38</v>
      </c>
      <c r="N10" s="1" t="s">
        <v>28</v>
      </c>
      <c r="O10" s="1" t="s">
        <v>27</v>
      </c>
      <c r="P10" s="1" t="s">
        <v>26</v>
      </c>
      <c r="Q10" s="1" t="s">
        <v>25</v>
      </c>
      <c r="R10" s="1" t="s">
        <v>37</v>
      </c>
      <c r="S10" s="1" t="s">
        <v>24</v>
      </c>
      <c r="T10" s="1" t="s">
        <v>23</v>
      </c>
      <c r="U10" s="1" t="s">
        <v>22</v>
      </c>
      <c r="V10" s="1" t="s">
        <v>21</v>
      </c>
      <c r="W10" s="1" t="s">
        <v>57</v>
      </c>
      <c r="X10" s="1" t="s">
        <v>58</v>
      </c>
      <c r="Y10" s="1" t="s">
        <v>59</v>
      </c>
      <c r="Z10" s="4" t="s">
        <v>26</v>
      </c>
      <c r="AA10" s="1" t="s">
        <v>60</v>
      </c>
      <c r="AB10" s="1" t="s">
        <v>61</v>
      </c>
      <c r="AC10" s="1" t="s">
        <v>62</v>
      </c>
      <c r="AD10" s="1" t="s">
        <v>63</v>
      </c>
      <c r="AE10" s="1" t="s">
        <v>64</v>
      </c>
      <c r="AF10" s="1" t="s">
        <v>65</v>
      </c>
    </row>
    <row r="11" spans="1:32" x14ac:dyDescent="0.2">
      <c r="D11" s="1" t="s">
        <v>66</v>
      </c>
      <c r="E11" s="1" t="s">
        <v>67</v>
      </c>
      <c r="F11" s="1" t="s">
        <v>68</v>
      </c>
      <c r="G11" s="1" t="s">
        <v>69</v>
      </c>
      <c r="H11" s="1" t="s">
        <v>69</v>
      </c>
      <c r="I11" s="1" t="s">
        <v>70</v>
      </c>
      <c r="J11" s="1" t="s">
        <v>71</v>
      </c>
      <c r="K11" s="1" t="s">
        <v>72</v>
      </c>
      <c r="N11" s="1" t="s">
        <v>73</v>
      </c>
      <c r="O11" s="1" t="s">
        <v>74</v>
      </c>
      <c r="P11" s="1" t="s">
        <v>68</v>
      </c>
      <c r="Q11" s="1" t="s">
        <v>69</v>
      </c>
      <c r="R11" s="1" t="s">
        <v>69</v>
      </c>
      <c r="S11" s="1" t="s">
        <v>70</v>
      </c>
      <c r="T11" s="1" t="s">
        <v>75</v>
      </c>
      <c r="U11" s="1" t="s">
        <v>76</v>
      </c>
      <c r="X11" s="1" t="s">
        <v>73</v>
      </c>
      <c r="Y11" s="1" t="s">
        <v>74</v>
      </c>
      <c r="Z11" s="4" t="s">
        <v>68</v>
      </c>
      <c r="AA11" s="1" t="s">
        <v>69</v>
      </c>
      <c r="AB11" s="1" t="s">
        <v>69</v>
      </c>
      <c r="AC11" s="1" t="s">
        <v>70</v>
      </c>
      <c r="AD11" s="1" t="s">
        <v>71</v>
      </c>
      <c r="AE11" s="1" t="s">
        <v>72</v>
      </c>
    </row>
    <row r="12" spans="1:32" x14ac:dyDescent="0.2">
      <c r="C12" s="1" t="s">
        <v>77</v>
      </c>
      <c r="D12" s="1" t="s">
        <v>78</v>
      </c>
      <c r="E12" s="1" t="s">
        <v>79</v>
      </c>
      <c r="F12" s="1" t="s">
        <v>79</v>
      </c>
      <c r="G12" s="1" t="s">
        <v>80</v>
      </c>
      <c r="H12" s="1" t="s">
        <v>80</v>
      </c>
      <c r="I12" s="1" t="s">
        <v>0</v>
      </c>
      <c r="J12" s="1" t="s">
        <v>81</v>
      </c>
      <c r="K12" s="1" t="s">
        <v>81</v>
      </c>
      <c r="L12" s="1" t="s">
        <v>82</v>
      </c>
      <c r="M12" s="1" t="s">
        <v>77</v>
      </c>
      <c r="N12" s="1" t="s">
        <v>78</v>
      </c>
      <c r="O12" s="1" t="s">
        <v>79</v>
      </c>
      <c r="P12" s="1" t="s">
        <v>79</v>
      </c>
      <c r="Q12" s="1" t="s">
        <v>80</v>
      </c>
      <c r="R12" s="1" t="s">
        <v>80</v>
      </c>
      <c r="S12" s="1" t="s">
        <v>0</v>
      </c>
      <c r="T12" s="1" t="s">
        <v>81</v>
      </c>
      <c r="U12" s="1" t="s">
        <v>81</v>
      </c>
      <c r="V12" s="1" t="s">
        <v>82</v>
      </c>
      <c r="W12" s="1" t="s">
        <v>77</v>
      </c>
      <c r="X12" s="1" t="s">
        <v>78</v>
      </c>
      <c r="Y12" s="1" t="s">
        <v>79</v>
      </c>
      <c r="Z12" s="4" t="s">
        <v>79</v>
      </c>
      <c r="AA12" s="1" t="s">
        <v>80</v>
      </c>
      <c r="AB12" s="1" t="s">
        <v>80</v>
      </c>
      <c r="AC12" s="1" t="s">
        <v>0</v>
      </c>
      <c r="AD12" s="1" t="s">
        <v>81</v>
      </c>
      <c r="AE12" s="1" t="s">
        <v>81</v>
      </c>
      <c r="AF12" s="1" t="s">
        <v>82</v>
      </c>
    </row>
    <row r="13" spans="1:32" x14ac:dyDescent="0.2">
      <c r="A13" s="2" t="s">
        <v>14</v>
      </c>
      <c r="C13" s="1">
        <v>28</v>
      </c>
      <c r="D13" s="1">
        <v>1.5</v>
      </c>
      <c r="E13" s="1">
        <v>2.5</v>
      </c>
      <c r="F13" s="1">
        <v>1.2</v>
      </c>
      <c r="G13" s="1">
        <v>100</v>
      </c>
      <c r="H13" s="1">
        <v>100</v>
      </c>
      <c r="I13" s="1">
        <v>1</v>
      </c>
      <c r="J13" s="1">
        <v>3.8</v>
      </c>
      <c r="K13" s="1">
        <v>5</v>
      </c>
      <c r="L13" s="1">
        <v>4.9000000000000004</v>
      </c>
      <c r="M13" s="1">
        <v>-52</v>
      </c>
      <c r="N13" s="1">
        <v>1.5</v>
      </c>
      <c r="O13" s="1">
        <v>2.5</v>
      </c>
      <c r="P13" s="1">
        <v>1.2</v>
      </c>
      <c r="Q13" s="1">
        <v>100</v>
      </c>
      <c r="R13" s="1">
        <v>100</v>
      </c>
      <c r="S13" s="1">
        <v>1</v>
      </c>
      <c r="T13" s="1">
        <v>3.8</v>
      </c>
      <c r="U13" s="1">
        <v>5</v>
      </c>
      <c r="V13" s="1">
        <v>4.9000000000000004</v>
      </c>
      <c r="W13" s="1">
        <v>103</v>
      </c>
      <c r="X13" s="1">
        <v>1.5</v>
      </c>
      <c r="Y13" s="1">
        <v>2.5</v>
      </c>
      <c r="Z13" s="4">
        <v>1.2</v>
      </c>
      <c r="AA13" s="1">
        <v>100</v>
      </c>
      <c r="AB13" s="1">
        <v>100</v>
      </c>
      <c r="AC13" s="1">
        <v>50</v>
      </c>
      <c r="AD13" s="1">
        <v>7</v>
      </c>
      <c r="AE13" s="1">
        <v>7</v>
      </c>
      <c r="AF13" s="1">
        <v>4.9000000000000004</v>
      </c>
    </row>
    <row r="14" spans="1:32" x14ac:dyDescent="0.2">
      <c r="A14" s="2" t="s">
        <v>16</v>
      </c>
      <c r="C14" s="1">
        <v>22</v>
      </c>
      <c r="D14" s="1">
        <v>0.5</v>
      </c>
      <c r="E14" s="1">
        <v>1.5</v>
      </c>
      <c r="F14" s="1" t="s">
        <v>15</v>
      </c>
      <c r="G14" s="1">
        <v>-100</v>
      </c>
      <c r="H14" s="1">
        <v>-100</v>
      </c>
      <c r="I14" s="1">
        <v>0</v>
      </c>
      <c r="J14" s="1">
        <v>0</v>
      </c>
      <c r="K14" s="1">
        <v>0</v>
      </c>
      <c r="L14" s="1">
        <v>0.9</v>
      </c>
      <c r="M14" s="1">
        <v>-58</v>
      </c>
      <c r="N14" s="1">
        <v>0.5</v>
      </c>
      <c r="O14" s="1">
        <v>1.5</v>
      </c>
      <c r="P14" s="1" t="s">
        <v>15</v>
      </c>
      <c r="Q14" s="1">
        <v>-100</v>
      </c>
      <c r="R14" s="1">
        <v>-100</v>
      </c>
      <c r="S14" s="1">
        <v>0</v>
      </c>
      <c r="T14" s="1">
        <v>0</v>
      </c>
      <c r="U14" s="1">
        <v>0</v>
      </c>
      <c r="V14" s="1">
        <v>0.9</v>
      </c>
      <c r="W14" s="1">
        <v>97</v>
      </c>
      <c r="X14" s="1">
        <v>0.5</v>
      </c>
      <c r="Y14" s="1">
        <v>1</v>
      </c>
      <c r="Z14" s="4" t="s">
        <v>15</v>
      </c>
      <c r="AA14" s="1">
        <v>-100</v>
      </c>
      <c r="AB14" s="1">
        <v>-100</v>
      </c>
      <c r="AC14" s="1">
        <v>0</v>
      </c>
      <c r="AD14" s="1">
        <v>0</v>
      </c>
      <c r="AE14" s="1">
        <v>0</v>
      </c>
      <c r="AF14" s="1">
        <v>0.9</v>
      </c>
    </row>
    <row r="15" spans="1:32" s="2" customFormat="1" x14ac:dyDescent="0.2">
      <c r="A15" s="2" t="s">
        <v>17</v>
      </c>
      <c r="C15" s="2">
        <f t="shared" ref="C15:AF15" si="0">MIN(C19:C159)</f>
        <v>24.7</v>
      </c>
      <c r="D15" s="2">
        <f t="shared" si="0"/>
        <v>1</v>
      </c>
      <c r="E15" s="2">
        <f t="shared" si="0"/>
        <v>1.9019999999999999</v>
      </c>
      <c r="F15" s="2">
        <f t="shared" si="0"/>
        <v>0.76980000000000004</v>
      </c>
      <c r="G15" s="2">
        <f t="shared" si="0"/>
        <v>0.2387</v>
      </c>
      <c r="H15" s="2">
        <f t="shared" si="0"/>
        <v>-0.64590000000000003</v>
      </c>
      <c r="I15" s="2">
        <f t="shared" si="0"/>
        <v>8.0000000000000004E-4</v>
      </c>
      <c r="J15" s="2">
        <f t="shared" si="0"/>
        <v>2.1229</v>
      </c>
      <c r="K15" s="2">
        <f t="shared" si="0"/>
        <v>3.3982999999999999</v>
      </c>
      <c r="L15" s="2">
        <f t="shared" si="0"/>
        <v>1.6682999999999999</v>
      </c>
      <c r="M15" s="2">
        <f t="shared" si="0"/>
        <v>-55.6</v>
      </c>
      <c r="N15" s="2">
        <f t="shared" si="0"/>
        <v>1</v>
      </c>
      <c r="O15" s="2">
        <f t="shared" si="0"/>
        <v>2.3003</v>
      </c>
      <c r="P15" s="2">
        <f t="shared" si="0"/>
        <v>0.89070000000000005</v>
      </c>
      <c r="Q15" s="2">
        <f t="shared" si="0"/>
        <v>0.2198</v>
      </c>
      <c r="R15" s="2">
        <f t="shared" si="0"/>
        <v>-31.343699999999998</v>
      </c>
      <c r="S15" s="2">
        <f t="shared" si="0"/>
        <v>1.1999999999999999E-3</v>
      </c>
      <c r="T15" s="2">
        <f t="shared" si="0"/>
        <v>0.87239999999999995</v>
      </c>
      <c r="U15" s="2">
        <f t="shared" si="0"/>
        <v>2.2755000000000001</v>
      </c>
      <c r="V15" s="2">
        <f t="shared" si="0"/>
        <v>1.5064</v>
      </c>
      <c r="W15" s="2">
        <f t="shared" si="0"/>
        <v>99.9</v>
      </c>
      <c r="X15" s="2">
        <f t="shared" si="0"/>
        <v>1</v>
      </c>
      <c r="Y15" s="2">
        <f t="shared" si="0"/>
        <v>1.3511</v>
      </c>
      <c r="AA15" s="2">
        <f t="shared" si="0"/>
        <v>0.29720000000000002</v>
      </c>
      <c r="AB15" s="2">
        <f t="shared" si="0"/>
        <v>-0.69750000000000001</v>
      </c>
      <c r="AC15" s="2">
        <f t="shared" si="0"/>
        <v>1.9900000000000001E-2</v>
      </c>
      <c r="AD15" s="2">
        <f t="shared" si="0"/>
        <v>2.9813000000000001</v>
      </c>
      <c r="AE15" s="2">
        <f t="shared" si="0"/>
        <v>4.6463999999999999</v>
      </c>
      <c r="AF15" s="2">
        <f t="shared" si="0"/>
        <v>1.8354999999999999</v>
      </c>
    </row>
    <row r="16" spans="1:32" s="2" customFormat="1" x14ac:dyDescent="0.2">
      <c r="A16" s="2" t="s">
        <v>18</v>
      </c>
      <c r="C16" s="2">
        <f t="shared" ref="C16:AF16" si="1">MAX(C19:C159)</f>
        <v>25.2</v>
      </c>
      <c r="D16" s="2">
        <f t="shared" si="1"/>
        <v>1</v>
      </c>
      <c r="E16" s="2">
        <f t="shared" si="1"/>
        <v>2.3006000000000002</v>
      </c>
      <c r="F16" s="2">
        <f t="shared" si="1"/>
        <v>0.78920000000000001</v>
      </c>
      <c r="G16" s="2">
        <f t="shared" si="1"/>
        <v>12.359400000000001</v>
      </c>
      <c r="H16" s="2">
        <f t="shared" si="1"/>
        <v>12.0374</v>
      </c>
      <c r="I16" s="2">
        <f t="shared" si="1"/>
        <v>3.3999999999999998E-3</v>
      </c>
      <c r="J16" s="2">
        <f t="shared" si="1"/>
        <v>3.3109999999999999</v>
      </c>
      <c r="K16" s="2">
        <f t="shared" si="1"/>
        <v>4.2336999999999998</v>
      </c>
      <c r="L16" s="2">
        <f t="shared" si="1"/>
        <v>2.3363999999999998</v>
      </c>
      <c r="M16" s="2">
        <f t="shared" si="1"/>
        <v>-54.9</v>
      </c>
      <c r="N16" s="2">
        <f t="shared" si="1"/>
        <v>1</v>
      </c>
      <c r="O16" s="2">
        <f t="shared" si="1"/>
        <v>2.4981</v>
      </c>
      <c r="P16" s="2">
        <f t="shared" si="1"/>
        <v>0.91069999999999995</v>
      </c>
      <c r="Q16" s="2">
        <f t="shared" si="1"/>
        <v>27.938700000000001</v>
      </c>
      <c r="R16" s="2">
        <f t="shared" si="1"/>
        <v>12.230600000000001</v>
      </c>
      <c r="S16" s="2">
        <f t="shared" si="1"/>
        <v>2.46E-2</v>
      </c>
      <c r="T16" s="2">
        <f t="shared" si="1"/>
        <v>1.5042</v>
      </c>
      <c r="U16" s="2">
        <f t="shared" si="1"/>
        <v>3.1223999999999998</v>
      </c>
      <c r="V16" s="2">
        <f t="shared" si="1"/>
        <v>2.1562999999999999</v>
      </c>
      <c r="W16" s="2">
        <f t="shared" si="1"/>
        <v>101.1</v>
      </c>
      <c r="X16" s="2">
        <f t="shared" si="1"/>
        <v>1</v>
      </c>
      <c r="Y16" s="2">
        <f t="shared" si="1"/>
        <v>1.6716</v>
      </c>
      <c r="AA16" s="2">
        <f t="shared" si="1"/>
        <v>13.1966</v>
      </c>
      <c r="AB16" s="2">
        <f t="shared" si="1"/>
        <v>11.9086</v>
      </c>
      <c r="AC16" s="2">
        <f t="shared" si="1"/>
        <v>0.53129999999999999</v>
      </c>
      <c r="AD16" s="2">
        <f t="shared" si="1"/>
        <v>3.6263000000000001</v>
      </c>
      <c r="AE16" s="2">
        <f t="shared" si="1"/>
        <v>5.4950999999999999</v>
      </c>
      <c r="AF16" s="2">
        <f t="shared" si="1"/>
        <v>2.5352999999999999</v>
      </c>
    </row>
    <row r="17" spans="1:32" s="2" customFormat="1" x14ac:dyDescent="0.2">
      <c r="A17" s="2" t="s">
        <v>19</v>
      </c>
      <c r="C17" s="2">
        <f t="shared" ref="C17:AF17" si="2">AVERAGE(C19:C159)</f>
        <v>25.056028368794291</v>
      </c>
      <c r="D17" s="2">
        <f t="shared" si="2"/>
        <v>1</v>
      </c>
      <c r="E17" s="2">
        <f t="shared" si="2"/>
        <v>2.0114851063829797</v>
      </c>
      <c r="F17" s="2">
        <f t="shared" si="2"/>
        <v>0.77601843971631268</v>
      </c>
      <c r="G17" s="2">
        <f t="shared" si="2"/>
        <v>8.3175198581560323</v>
      </c>
      <c r="H17" s="2">
        <f t="shared" si="2"/>
        <v>7.5619099290780127</v>
      </c>
      <c r="I17" s="2">
        <f t="shared" si="2"/>
        <v>2.283687943262413E-3</v>
      </c>
      <c r="J17" s="2">
        <f t="shared" si="2"/>
        <v>2.436418439716312</v>
      </c>
      <c r="K17" s="2">
        <f t="shared" si="2"/>
        <v>3.60899290780142</v>
      </c>
      <c r="L17" s="2">
        <f t="shared" si="2"/>
        <v>2.05771134751773</v>
      </c>
      <c r="M17" s="2">
        <f t="shared" si="2"/>
        <v>-55.208510638297867</v>
      </c>
      <c r="N17" s="2">
        <f t="shared" si="2"/>
        <v>1</v>
      </c>
      <c r="O17" s="2">
        <f t="shared" si="2"/>
        <v>2.3882872340425525</v>
      </c>
      <c r="P17" s="2">
        <f t="shared" si="2"/>
        <v>0.89813971631205713</v>
      </c>
      <c r="Q17" s="2">
        <f t="shared" si="2"/>
        <v>8.762448226950351</v>
      </c>
      <c r="R17" s="2">
        <f t="shared" si="2"/>
        <v>6.7428198581560252</v>
      </c>
      <c r="S17" s="2">
        <f t="shared" si="2"/>
        <v>2.0253191489361701E-2</v>
      </c>
      <c r="T17" s="2">
        <f t="shared" si="2"/>
        <v>1.2094468085106391</v>
      </c>
      <c r="U17" s="2">
        <f t="shared" si="2"/>
        <v>2.5134801418439707</v>
      </c>
      <c r="V17" s="2">
        <f t="shared" si="2"/>
        <v>1.8820141843971638</v>
      </c>
      <c r="W17" s="2">
        <f t="shared" si="2"/>
        <v>100.5843971631206</v>
      </c>
      <c r="X17" s="2">
        <f t="shared" si="2"/>
        <v>1</v>
      </c>
      <c r="Y17" s="2">
        <f t="shared" si="2"/>
        <v>1.4629936170212769</v>
      </c>
      <c r="AA17" s="2">
        <f t="shared" si="2"/>
        <v>8.4176617021276527</v>
      </c>
      <c r="AB17" s="2">
        <f t="shared" si="2"/>
        <v>7.3684163120567341</v>
      </c>
      <c r="AC17" s="2">
        <f t="shared" si="2"/>
        <v>9.103404255319153E-2</v>
      </c>
      <c r="AD17" s="2">
        <f t="shared" si="2"/>
        <v>3.3603652482269517</v>
      </c>
      <c r="AE17" s="2">
        <f t="shared" si="2"/>
        <v>4.8573822695035505</v>
      </c>
      <c r="AF17" s="2">
        <f t="shared" si="2"/>
        <v>2.2446624113475173</v>
      </c>
    </row>
    <row r="18" spans="1:32" s="2" customFormat="1" x14ac:dyDescent="0.2">
      <c r="A18" s="2" t="s">
        <v>20</v>
      </c>
      <c r="C18" s="2">
        <f t="shared" ref="C18:AF18" si="3">STDEV(C19:C159)</f>
        <v>6.5866525560887831E-2</v>
      </c>
      <c r="D18" s="2">
        <f t="shared" si="3"/>
        <v>0</v>
      </c>
      <c r="E18" s="2">
        <f t="shared" si="3"/>
        <v>8.1237836835667904E-2</v>
      </c>
      <c r="F18" s="2">
        <f t="shared" si="3"/>
        <v>4.6207235493539592E-3</v>
      </c>
      <c r="G18" s="2">
        <f t="shared" si="3"/>
        <v>4.2879100316757555</v>
      </c>
      <c r="H18" s="2">
        <f t="shared" si="3"/>
        <v>4.3646494892701773</v>
      </c>
      <c r="I18" s="2">
        <f t="shared" si="3"/>
        <v>4.7683841430152922E-4</v>
      </c>
      <c r="J18" s="2">
        <f t="shared" si="3"/>
        <v>0.3463891025592914</v>
      </c>
      <c r="K18" s="2">
        <f t="shared" si="3"/>
        <v>0.12860030973379169</v>
      </c>
      <c r="L18" s="2">
        <f t="shared" si="3"/>
        <v>0.16962978347490351</v>
      </c>
      <c r="M18" s="2">
        <f t="shared" si="3"/>
        <v>0.11981495357551887</v>
      </c>
      <c r="N18" s="2">
        <f t="shared" si="3"/>
        <v>0</v>
      </c>
      <c r="O18" s="2">
        <f t="shared" si="3"/>
        <v>6.4952009592867663E-2</v>
      </c>
      <c r="P18" s="2">
        <f t="shared" si="3"/>
        <v>5.0445568888318202E-3</v>
      </c>
      <c r="Q18" s="2">
        <f t="shared" si="3"/>
        <v>4.2893694837786871</v>
      </c>
      <c r="R18" s="2">
        <f t="shared" si="3"/>
        <v>7.3857490937153498</v>
      </c>
      <c r="S18" s="2">
        <f t="shared" si="3"/>
        <v>4.6523351001941651E-3</v>
      </c>
      <c r="T18" s="2">
        <f t="shared" si="3"/>
        <v>0.12907822133064395</v>
      </c>
      <c r="U18" s="2">
        <f t="shared" si="3"/>
        <v>0.13177166030668258</v>
      </c>
      <c r="V18" s="2">
        <f t="shared" si="3"/>
        <v>0.16490253856729187</v>
      </c>
      <c r="W18" s="2">
        <f t="shared" si="3"/>
        <v>0.23399746272838717</v>
      </c>
      <c r="X18" s="2">
        <f t="shared" si="3"/>
        <v>0</v>
      </c>
      <c r="Y18" s="2">
        <f t="shared" si="3"/>
        <v>6.3352562483709213E-2</v>
      </c>
      <c r="AA18" s="2">
        <f t="shared" si="3"/>
        <v>4.3100620946912507</v>
      </c>
      <c r="AB18" s="2">
        <f t="shared" si="3"/>
        <v>4.3179162235574511</v>
      </c>
      <c r="AC18" s="2">
        <f t="shared" si="3"/>
        <v>0.13510326306188752</v>
      </c>
      <c r="AD18" s="2">
        <f t="shared" si="3"/>
        <v>0.12566991456408763</v>
      </c>
      <c r="AE18" s="2">
        <f t="shared" si="3"/>
        <v>0.11787985910826324</v>
      </c>
      <c r="AF18" s="2">
        <f t="shared" si="3"/>
        <v>0.17676189131104633</v>
      </c>
    </row>
    <row r="19" spans="1:32" x14ac:dyDescent="0.2">
      <c r="A19" s="1">
        <v>1</v>
      </c>
      <c r="B19" s="1">
        <v>1</v>
      </c>
      <c r="C19" s="1">
        <v>25</v>
      </c>
      <c r="D19" s="1">
        <v>1</v>
      </c>
      <c r="E19" s="1">
        <v>1.9489000000000001</v>
      </c>
      <c r="F19" s="1">
        <v>0.7742</v>
      </c>
      <c r="G19" s="1">
        <v>10.5562</v>
      </c>
      <c r="H19" s="1">
        <v>9.5258000000000003</v>
      </c>
      <c r="I19" s="1">
        <v>2.3999999999999998E-3</v>
      </c>
      <c r="J19" s="1">
        <v>2.2633999999999999</v>
      </c>
      <c r="K19" s="1">
        <v>3.6374</v>
      </c>
      <c r="L19" s="1">
        <v>2.1989000000000001</v>
      </c>
      <c r="M19" s="1">
        <v>-55.1</v>
      </c>
      <c r="N19" s="1">
        <v>1</v>
      </c>
      <c r="O19" s="1">
        <v>2.3845999999999998</v>
      </c>
      <c r="P19" s="1">
        <v>0.89270000000000005</v>
      </c>
      <c r="Q19" s="1">
        <v>10.7494</v>
      </c>
      <c r="R19" s="1">
        <v>9.2682000000000002</v>
      </c>
      <c r="S19" s="1">
        <v>2.1299999999999999E-2</v>
      </c>
      <c r="T19" s="1">
        <v>1.3507</v>
      </c>
      <c r="U19" s="1">
        <v>2.5232000000000001</v>
      </c>
      <c r="V19" s="1">
        <v>2.0253999999999999</v>
      </c>
      <c r="W19" s="1">
        <v>100.5</v>
      </c>
      <c r="X19" s="1">
        <v>1</v>
      </c>
      <c r="Y19" s="1">
        <v>1.4341999999999999</v>
      </c>
      <c r="AA19" s="1">
        <v>10.7494</v>
      </c>
      <c r="AB19" s="1">
        <v>9.0106000000000002</v>
      </c>
      <c r="AC19" s="1">
        <v>2.23E-2</v>
      </c>
      <c r="AD19" s="1">
        <v>3.5316000000000001</v>
      </c>
      <c r="AE19" s="1">
        <v>4.8101000000000003</v>
      </c>
      <c r="AF19" s="1">
        <v>2.3843000000000001</v>
      </c>
    </row>
    <row r="20" spans="1:32" x14ac:dyDescent="0.2">
      <c r="A20" s="1">
        <v>2</v>
      </c>
      <c r="B20" s="1">
        <v>1</v>
      </c>
      <c r="C20" s="1">
        <v>25.1</v>
      </c>
      <c r="D20" s="1">
        <v>1</v>
      </c>
      <c r="E20" s="1">
        <v>2.0851999999999999</v>
      </c>
      <c r="F20" s="1">
        <v>0.78110000000000002</v>
      </c>
      <c r="G20" s="1">
        <v>0.41339999999999999</v>
      </c>
      <c r="H20" s="1">
        <v>-0.3962</v>
      </c>
      <c r="I20" s="1">
        <v>8.0000000000000004E-4</v>
      </c>
      <c r="J20" s="1">
        <v>3.2446000000000002</v>
      </c>
      <c r="K20" s="1">
        <v>3.5141</v>
      </c>
      <c r="L20" s="1">
        <v>2.0013000000000001</v>
      </c>
      <c r="M20" s="1">
        <v>-55.4</v>
      </c>
      <c r="N20" s="1">
        <v>1</v>
      </c>
      <c r="O20" s="1">
        <v>2.3003</v>
      </c>
      <c r="P20" s="1">
        <v>0.90510000000000002</v>
      </c>
      <c r="Q20" s="1">
        <v>0.70389999999999997</v>
      </c>
      <c r="R20" s="1">
        <v>-1.6594</v>
      </c>
      <c r="S20" s="1">
        <v>1.1299999999999999E-2</v>
      </c>
      <c r="T20" s="1">
        <v>0.95379999999999998</v>
      </c>
      <c r="U20" s="1">
        <v>2.387</v>
      </c>
      <c r="V20" s="1">
        <v>1.8198000000000001</v>
      </c>
      <c r="W20" s="1">
        <v>100.6</v>
      </c>
      <c r="X20" s="1">
        <v>1</v>
      </c>
      <c r="Y20" s="1">
        <v>1.504</v>
      </c>
      <c r="AA20" s="1">
        <v>0.55130000000000001</v>
      </c>
      <c r="AB20" s="1">
        <v>-0.64380000000000004</v>
      </c>
      <c r="AC20" s="1">
        <v>0.32240000000000002</v>
      </c>
      <c r="AD20" s="1">
        <v>3.1633</v>
      </c>
      <c r="AE20" s="1">
        <v>4.8</v>
      </c>
      <c r="AF20" s="1">
        <v>2.1871999999999998</v>
      </c>
    </row>
    <row r="21" spans="1:32" x14ac:dyDescent="0.2">
      <c r="A21" s="1">
        <v>3</v>
      </c>
      <c r="B21" s="1">
        <v>1</v>
      </c>
      <c r="C21" s="1">
        <v>24.9</v>
      </c>
      <c r="D21" s="1">
        <v>1</v>
      </c>
      <c r="E21" s="1">
        <v>1.9802</v>
      </c>
      <c r="F21" s="1">
        <v>0.77680000000000005</v>
      </c>
      <c r="G21" s="1">
        <v>9.5901999999999994</v>
      </c>
      <c r="H21" s="1">
        <v>9.3970000000000002</v>
      </c>
      <c r="I21" s="1">
        <v>2.5000000000000001E-3</v>
      </c>
      <c r="J21" s="1">
        <v>2.3048000000000002</v>
      </c>
      <c r="K21" s="1">
        <v>3.6015000000000001</v>
      </c>
      <c r="L21" s="1">
        <v>1.9613</v>
      </c>
      <c r="M21" s="1">
        <v>-55.2</v>
      </c>
      <c r="N21" s="1">
        <v>1</v>
      </c>
      <c r="O21" s="1">
        <v>2.3986000000000001</v>
      </c>
      <c r="P21" s="1">
        <v>0.89300000000000002</v>
      </c>
      <c r="Q21" s="1">
        <v>9.6546000000000003</v>
      </c>
      <c r="R21" s="1">
        <v>10.813800000000001</v>
      </c>
      <c r="S21" s="1">
        <v>2.24E-2</v>
      </c>
      <c r="T21" s="1">
        <v>1.3768</v>
      </c>
      <c r="U21" s="1">
        <v>2.5316999999999998</v>
      </c>
      <c r="V21" s="1">
        <v>1.7918000000000001</v>
      </c>
      <c r="W21" s="1">
        <v>100.3</v>
      </c>
      <c r="X21" s="1">
        <v>1</v>
      </c>
      <c r="Y21" s="1">
        <v>1.48</v>
      </c>
      <c r="AA21" s="1">
        <v>11.586600000000001</v>
      </c>
      <c r="AB21" s="1">
        <v>9.5901999999999994</v>
      </c>
      <c r="AC21" s="1">
        <v>2.1299999999999999E-2</v>
      </c>
      <c r="AD21" s="1">
        <v>3.3445999999999998</v>
      </c>
      <c r="AE21" s="1">
        <v>4.6933999999999996</v>
      </c>
      <c r="AF21" s="1">
        <v>2.1335999999999999</v>
      </c>
    </row>
    <row r="22" spans="1:32" x14ac:dyDescent="0.2">
      <c r="A22" s="1">
        <v>4</v>
      </c>
      <c r="B22" s="1">
        <v>1</v>
      </c>
      <c r="C22" s="1">
        <v>25.1</v>
      </c>
      <c r="D22" s="1">
        <v>1</v>
      </c>
      <c r="E22" s="1">
        <v>2.0367999999999999</v>
      </c>
      <c r="F22" s="1">
        <v>0.7782</v>
      </c>
      <c r="G22" s="1">
        <v>10.813800000000001</v>
      </c>
      <c r="H22" s="1">
        <v>8.8818000000000001</v>
      </c>
      <c r="I22" s="1">
        <v>2.5000000000000001E-3</v>
      </c>
      <c r="J22" s="1">
        <v>2.2427000000000001</v>
      </c>
      <c r="K22" s="1">
        <v>3.6000999999999999</v>
      </c>
      <c r="L22" s="1">
        <v>1.9228000000000001</v>
      </c>
      <c r="M22" s="1">
        <v>-55.3</v>
      </c>
      <c r="N22" s="1">
        <v>1</v>
      </c>
      <c r="O22" s="1">
        <v>2.468</v>
      </c>
      <c r="P22" s="1">
        <v>0.89559999999999995</v>
      </c>
      <c r="Q22" s="1">
        <v>11.071400000000001</v>
      </c>
      <c r="R22" s="1">
        <v>10.363</v>
      </c>
      <c r="S22" s="1">
        <v>2.1600000000000001E-2</v>
      </c>
      <c r="T22" s="1">
        <v>1.3119000000000001</v>
      </c>
      <c r="U22" s="1">
        <v>2.5404</v>
      </c>
      <c r="V22" s="1">
        <v>1.7526999999999999</v>
      </c>
      <c r="W22" s="1">
        <v>100</v>
      </c>
      <c r="X22" s="1">
        <v>1</v>
      </c>
      <c r="Y22" s="1">
        <v>1.5125</v>
      </c>
      <c r="AA22" s="1">
        <v>10.6206</v>
      </c>
      <c r="AB22" s="1">
        <v>10.1698</v>
      </c>
      <c r="AC22" s="1">
        <v>2.3099999999999999E-2</v>
      </c>
      <c r="AD22" s="1">
        <v>3.3580000000000001</v>
      </c>
      <c r="AE22" s="1">
        <v>4.7933000000000003</v>
      </c>
      <c r="AF22" s="1">
        <v>2.0996000000000001</v>
      </c>
    </row>
    <row r="23" spans="1:32" x14ac:dyDescent="0.2">
      <c r="A23" s="1">
        <v>5</v>
      </c>
      <c r="B23" s="1">
        <v>1</v>
      </c>
      <c r="C23" s="1">
        <v>25.1</v>
      </c>
      <c r="D23" s="1">
        <v>1</v>
      </c>
      <c r="E23" s="1">
        <v>1.9055</v>
      </c>
      <c r="F23" s="1">
        <v>0.77190000000000003</v>
      </c>
      <c r="G23" s="1">
        <v>10.1698</v>
      </c>
      <c r="H23" s="1">
        <v>10.942600000000001</v>
      </c>
      <c r="I23" s="1">
        <v>2.3999999999999998E-3</v>
      </c>
      <c r="J23" s="1">
        <v>2.2978999999999998</v>
      </c>
      <c r="K23" s="1">
        <v>3.5897000000000001</v>
      </c>
      <c r="L23" s="1">
        <v>2.3014000000000001</v>
      </c>
      <c r="M23" s="1">
        <v>-55</v>
      </c>
      <c r="N23" s="1">
        <v>1</v>
      </c>
      <c r="O23" s="1">
        <v>2.3218999999999999</v>
      </c>
      <c r="P23" s="1">
        <v>0.89090000000000003</v>
      </c>
      <c r="Q23" s="1">
        <v>8.3021999999999991</v>
      </c>
      <c r="R23" s="1">
        <v>9.2037999999999993</v>
      </c>
      <c r="S23" s="1">
        <v>2.2100000000000002E-2</v>
      </c>
      <c r="T23" s="1">
        <v>1.3836999999999999</v>
      </c>
      <c r="U23" s="1">
        <v>2.5424000000000002</v>
      </c>
      <c r="V23" s="1">
        <v>2.1267999999999998</v>
      </c>
      <c r="W23" s="1">
        <v>100.3</v>
      </c>
      <c r="X23" s="1">
        <v>1</v>
      </c>
      <c r="Y23" s="1">
        <v>1.4038999999999999</v>
      </c>
      <c r="AA23" s="1">
        <v>9.9765999999999995</v>
      </c>
      <c r="AB23" s="1">
        <v>8.1735000000000007</v>
      </c>
      <c r="AC23" s="1">
        <v>2.0799999999999999E-2</v>
      </c>
      <c r="AD23" s="1">
        <v>3.4174000000000002</v>
      </c>
      <c r="AE23" s="1">
        <v>4.7899000000000003</v>
      </c>
      <c r="AF23" s="1">
        <v>2.4897999999999998</v>
      </c>
    </row>
    <row r="24" spans="1:32" x14ac:dyDescent="0.2">
      <c r="A24" s="1">
        <v>6</v>
      </c>
      <c r="B24" s="1">
        <v>1</v>
      </c>
      <c r="C24" s="1">
        <v>25</v>
      </c>
      <c r="D24" s="1">
        <v>1</v>
      </c>
      <c r="E24" s="1">
        <v>2.0385</v>
      </c>
      <c r="F24" s="1">
        <v>0.77839999999999998</v>
      </c>
      <c r="G24" s="1">
        <v>10.2986</v>
      </c>
      <c r="H24" s="1">
        <v>9.7834000000000003</v>
      </c>
      <c r="I24" s="1">
        <v>2.5999999999999999E-3</v>
      </c>
      <c r="J24" s="1">
        <v>2.1547000000000001</v>
      </c>
      <c r="K24" s="1">
        <v>3.5899000000000001</v>
      </c>
      <c r="L24" s="1">
        <v>1.8092999999999999</v>
      </c>
      <c r="M24" s="1">
        <v>-55.2</v>
      </c>
      <c r="N24" s="1">
        <v>1</v>
      </c>
      <c r="O24" s="1">
        <v>2.4691000000000001</v>
      </c>
      <c r="P24" s="1">
        <v>0.89529999999999998</v>
      </c>
      <c r="Q24" s="1">
        <v>10.4274</v>
      </c>
      <c r="R24" s="1">
        <v>11.071400000000001</v>
      </c>
      <c r="S24" s="1">
        <v>2.1700000000000001E-2</v>
      </c>
      <c r="T24" s="1">
        <v>1.2539</v>
      </c>
      <c r="U24" s="1">
        <v>2.5529999999999999</v>
      </c>
      <c r="V24" s="1">
        <v>1.6473</v>
      </c>
      <c r="W24" s="1">
        <v>100.5</v>
      </c>
      <c r="X24" s="1">
        <v>1</v>
      </c>
      <c r="Y24" s="1">
        <v>1.5206</v>
      </c>
      <c r="AA24" s="1">
        <v>10.105399999999999</v>
      </c>
      <c r="AB24" s="1">
        <v>9.7189999999999994</v>
      </c>
      <c r="AC24" s="1">
        <v>2.1899999999999999E-2</v>
      </c>
      <c r="AD24" s="1">
        <v>3.2625000000000002</v>
      </c>
      <c r="AE24" s="1">
        <v>4.7538999999999998</v>
      </c>
      <c r="AF24" s="1">
        <v>1.9744999999999999</v>
      </c>
    </row>
    <row r="25" spans="1:32" x14ac:dyDescent="0.2">
      <c r="A25" s="1">
        <v>7</v>
      </c>
      <c r="B25" s="1">
        <v>1</v>
      </c>
      <c r="C25" s="1">
        <v>25</v>
      </c>
      <c r="D25" s="1">
        <v>1</v>
      </c>
      <c r="E25" s="1">
        <v>1.9159999999999999</v>
      </c>
      <c r="F25" s="1">
        <v>0.77190000000000003</v>
      </c>
      <c r="G25" s="1">
        <v>9.7189999999999994</v>
      </c>
      <c r="H25" s="1">
        <v>11.329000000000001</v>
      </c>
      <c r="I25" s="1">
        <v>2.5999999999999999E-3</v>
      </c>
      <c r="J25" s="1">
        <v>2.2621000000000002</v>
      </c>
      <c r="K25" s="1">
        <v>3.5348999999999999</v>
      </c>
      <c r="L25" s="1">
        <v>2.2370000000000001</v>
      </c>
      <c r="M25" s="1">
        <v>-55.2</v>
      </c>
      <c r="N25" s="1">
        <v>1</v>
      </c>
      <c r="O25" s="1">
        <v>2.3403</v>
      </c>
      <c r="P25" s="1">
        <v>0.89070000000000005</v>
      </c>
      <c r="Q25" s="1">
        <v>10.1698</v>
      </c>
      <c r="R25" s="1">
        <v>9.5901999999999994</v>
      </c>
      <c r="S25" s="1">
        <v>2.2599999999999999E-2</v>
      </c>
      <c r="T25" s="1">
        <v>1.3181</v>
      </c>
      <c r="U25" s="1">
        <v>2.5163000000000002</v>
      </c>
      <c r="V25" s="1">
        <v>2.0623</v>
      </c>
      <c r="W25" s="1">
        <v>100.2</v>
      </c>
      <c r="X25" s="1">
        <v>1</v>
      </c>
      <c r="Y25" s="1">
        <v>1.4091</v>
      </c>
      <c r="AA25" s="1">
        <v>8.5597999999999992</v>
      </c>
      <c r="AB25" s="1">
        <v>9.3325999999999993</v>
      </c>
      <c r="AC25" s="1">
        <v>2.3E-2</v>
      </c>
      <c r="AD25" s="1">
        <v>3.4590999999999998</v>
      </c>
      <c r="AE25" s="1">
        <v>4.8018000000000001</v>
      </c>
      <c r="AF25" s="1">
        <v>2.4222999999999999</v>
      </c>
    </row>
    <row r="26" spans="1:32" x14ac:dyDescent="0.2">
      <c r="A26" s="1">
        <v>8</v>
      </c>
      <c r="B26" s="1">
        <v>1</v>
      </c>
      <c r="C26" s="1">
        <v>24.9</v>
      </c>
      <c r="D26" s="1">
        <v>1</v>
      </c>
      <c r="E26" s="1">
        <v>1.9693000000000001</v>
      </c>
      <c r="F26" s="1">
        <v>0.77939999999999998</v>
      </c>
      <c r="G26" s="1">
        <v>10.685</v>
      </c>
      <c r="H26" s="1">
        <v>9.2682000000000002</v>
      </c>
      <c r="I26" s="1">
        <v>2.3E-3</v>
      </c>
      <c r="J26" s="1">
        <v>2.3948999999999998</v>
      </c>
      <c r="K26" s="1">
        <v>3.8416999999999999</v>
      </c>
      <c r="L26" s="1">
        <v>2.0274999999999999</v>
      </c>
      <c r="M26" s="1">
        <v>-55.2</v>
      </c>
      <c r="N26" s="1">
        <v>1</v>
      </c>
      <c r="O26" s="1">
        <v>2.3776000000000002</v>
      </c>
      <c r="P26" s="1">
        <v>0.89639999999999997</v>
      </c>
      <c r="Q26" s="1">
        <v>9.5901999999999994</v>
      </c>
      <c r="R26" s="1">
        <v>11.457800000000001</v>
      </c>
      <c r="S26" s="1">
        <v>2.0899999999999998E-2</v>
      </c>
      <c r="T26" s="1">
        <v>1.3654999999999999</v>
      </c>
      <c r="U26" s="1">
        <v>2.8517000000000001</v>
      </c>
      <c r="V26" s="1">
        <v>1.8592</v>
      </c>
      <c r="W26" s="1">
        <v>100.2</v>
      </c>
      <c r="X26" s="1">
        <v>1</v>
      </c>
      <c r="Y26" s="1">
        <v>1.4858</v>
      </c>
      <c r="AA26" s="1">
        <v>9.4613999999999994</v>
      </c>
      <c r="AB26" s="1">
        <v>9.5901999999999994</v>
      </c>
      <c r="AC26" s="1">
        <v>2.3300000000000001E-2</v>
      </c>
      <c r="AD26" s="1">
        <v>3.4474</v>
      </c>
      <c r="AE26" s="1">
        <v>4.9634</v>
      </c>
      <c r="AF26" s="1">
        <v>2.2037</v>
      </c>
    </row>
    <row r="27" spans="1:32" x14ac:dyDescent="0.2">
      <c r="A27" s="1">
        <v>9</v>
      </c>
      <c r="B27" s="1">
        <v>1</v>
      </c>
      <c r="C27" s="1">
        <v>25.1</v>
      </c>
      <c r="D27" s="1">
        <v>1</v>
      </c>
      <c r="E27" s="1">
        <v>1.9357</v>
      </c>
      <c r="F27" s="1">
        <v>0.77100000000000002</v>
      </c>
      <c r="G27" s="1">
        <v>11.1358</v>
      </c>
      <c r="H27" s="1">
        <v>11.586600000000001</v>
      </c>
      <c r="I27" s="1">
        <v>2.3999999999999998E-3</v>
      </c>
      <c r="J27" s="1">
        <v>2.2566000000000002</v>
      </c>
      <c r="K27" s="1">
        <v>3.5632000000000001</v>
      </c>
      <c r="L27" s="1">
        <v>2.2928999999999999</v>
      </c>
      <c r="M27" s="1">
        <v>-55.1</v>
      </c>
      <c r="N27" s="1">
        <v>1</v>
      </c>
      <c r="O27" s="1">
        <v>2.3450000000000002</v>
      </c>
      <c r="P27" s="1">
        <v>0.89070000000000005</v>
      </c>
      <c r="Q27" s="1">
        <v>10.041</v>
      </c>
      <c r="R27" s="1">
        <v>9.4613999999999994</v>
      </c>
      <c r="S27" s="1">
        <v>2.1399999999999999E-2</v>
      </c>
      <c r="T27" s="1">
        <v>1.2815000000000001</v>
      </c>
      <c r="U27" s="1">
        <v>2.5146000000000002</v>
      </c>
      <c r="V27" s="1">
        <v>2.1185</v>
      </c>
      <c r="W27" s="1">
        <v>100.3</v>
      </c>
      <c r="X27" s="1">
        <v>1</v>
      </c>
      <c r="Y27" s="1">
        <v>1.4368000000000001</v>
      </c>
      <c r="AA27" s="1">
        <v>11.973000000000001</v>
      </c>
      <c r="AB27" s="1">
        <v>11.200200000000001</v>
      </c>
      <c r="AC27" s="1">
        <v>2.1399999999999999E-2</v>
      </c>
      <c r="AD27" s="1">
        <v>3.4297</v>
      </c>
      <c r="AE27" s="1">
        <v>4.7769000000000004</v>
      </c>
      <c r="AF27" s="1">
        <v>2.4805000000000001</v>
      </c>
    </row>
    <row r="28" spans="1:32" x14ac:dyDescent="0.2">
      <c r="A28" s="1">
        <v>10</v>
      </c>
      <c r="B28" s="1">
        <v>1</v>
      </c>
      <c r="C28" s="1">
        <v>25</v>
      </c>
      <c r="D28" s="1">
        <v>1</v>
      </c>
      <c r="E28" s="1">
        <v>1.9750000000000001</v>
      </c>
      <c r="F28" s="1">
        <v>0.7762</v>
      </c>
      <c r="G28" s="1">
        <v>9.4613999999999994</v>
      </c>
      <c r="H28" s="1">
        <v>9.2682000000000002</v>
      </c>
      <c r="I28" s="1">
        <v>2.3999999999999998E-3</v>
      </c>
      <c r="J28" s="1">
        <v>2.2881</v>
      </c>
      <c r="K28" s="1">
        <v>3.6183000000000001</v>
      </c>
      <c r="L28" s="1">
        <v>2.0825999999999998</v>
      </c>
      <c r="M28" s="1">
        <v>-55.3</v>
      </c>
      <c r="N28" s="1">
        <v>1</v>
      </c>
      <c r="O28" s="1">
        <v>2.3765999999999998</v>
      </c>
      <c r="P28" s="1">
        <v>0.89339999999999997</v>
      </c>
      <c r="Q28" s="1">
        <v>10.4274</v>
      </c>
      <c r="R28" s="1">
        <v>10.041</v>
      </c>
      <c r="S28" s="1">
        <v>2.1100000000000001E-2</v>
      </c>
      <c r="T28" s="1">
        <v>1.3423</v>
      </c>
      <c r="U28" s="1">
        <v>2.5426000000000002</v>
      </c>
      <c r="V28" s="1">
        <v>1.9096</v>
      </c>
      <c r="W28" s="1">
        <v>100.3</v>
      </c>
      <c r="X28" s="1">
        <v>1</v>
      </c>
      <c r="Y28" s="1">
        <v>1.4922</v>
      </c>
      <c r="AA28" s="1">
        <v>10.8782</v>
      </c>
      <c r="AB28" s="1">
        <v>10.685</v>
      </c>
      <c r="AC28" s="1">
        <v>2.1899999999999999E-2</v>
      </c>
      <c r="AD28" s="1">
        <v>3.3401999999999998</v>
      </c>
      <c r="AE28" s="1">
        <v>4.7957000000000001</v>
      </c>
      <c r="AF28" s="1">
        <v>2.2618999999999998</v>
      </c>
    </row>
    <row r="29" spans="1:32" x14ac:dyDescent="0.2">
      <c r="A29" s="1">
        <v>11</v>
      </c>
      <c r="B29" s="1">
        <v>1</v>
      </c>
      <c r="C29" s="1">
        <v>25.1</v>
      </c>
      <c r="D29" s="1">
        <v>1</v>
      </c>
      <c r="E29" s="1">
        <v>1.9501999999999999</v>
      </c>
      <c r="F29" s="1">
        <v>0.77529999999999999</v>
      </c>
      <c r="G29" s="1">
        <v>10.8782</v>
      </c>
      <c r="H29" s="1">
        <v>10.2986</v>
      </c>
      <c r="I29" s="1">
        <v>2.3999999999999998E-3</v>
      </c>
      <c r="J29" s="1">
        <v>2.3536000000000001</v>
      </c>
      <c r="K29" s="1">
        <v>3.7096</v>
      </c>
      <c r="L29" s="1">
        <v>2.1313</v>
      </c>
      <c r="M29" s="1">
        <v>-55.1</v>
      </c>
      <c r="N29" s="1">
        <v>1</v>
      </c>
      <c r="O29" s="1">
        <v>2.3567999999999998</v>
      </c>
      <c r="P29" s="1">
        <v>0.89300000000000002</v>
      </c>
      <c r="Q29" s="1">
        <v>9.9765999999999995</v>
      </c>
      <c r="R29" s="1">
        <v>10.7494</v>
      </c>
      <c r="S29" s="1">
        <v>2.2700000000000001E-2</v>
      </c>
      <c r="T29" s="1">
        <v>1.4390000000000001</v>
      </c>
      <c r="U29" s="1">
        <v>2.5908000000000002</v>
      </c>
      <c r="V29" s="1">
        <v>1.9568000000000001</v>
      </c>
      <c r="W29" s="1">
        <v>100.3</v>
      </c>
      <c r="X29" s="1">
        <v>1</v>
      </c>
      <c r="Y29" s="1">
        <v>1.4558</v>
      </c>
      <c r="AA29" s="1">
        <v>11.715400000000001</v>
      </c>
      <c r="AB29" s="1">
        <v>9.0749999999999993</v>
      </c>
      <c r="AC29" s="1">
        <v>2.2100000000000002E-2</v>
      </c>
      <c r="AD29" s="1">
        <v>3.3328000000000002</v>
      </c>
      <c r="AE29" s="1">
        <v>4.7720000000000002</v>
      </c>
      <c r="AF29" s="1">
        <v>2.3129</v>
      </c>
    </row>
    <row r="30" spans="1:32" x14ac:dyDescent="0.2">
      <c r="A30" s="1">
        <v>12</v>
      </c>
      <c r="B30" s="1">
        <v>1</v>
      </c>
      <c r="C30" s="1">
        <v>25.1</v>
      </c>
      <c r="D30" s="1">
        <v>1</v>
      </c>
      <c r="E30" s="1">
        <v>2.1865000000000001</v>
      </c>
      <c r="F30" s="1">
        <v>0.78390000000000004</v>
      </c>
      <c r="G30" s="1">
        <v>0.49990000000000001</v>
      </c>
      <c r="H30" s="1">
        <v>-0.40489999999999998</v>
      </c>
      <c r="I30" s="1">
        <v>1.1000000000000001E-3</v>
      </c>
      <c r="J30" s="1">
        <v>2.9923000000000002</v>
      </c>
      <c r="K30" s="1">
        <v>3.5394000000000001</v>
      </c>
      <c r="L30" s="1">
        <v>1.7491000000000001</v>
      </c>
      <c r="M30" s="1">
        <v>-55.3</v>
      </c>
      <c r="N30" s="1">
        <v>1</v>
      </c>
      <c r="O30" s="1">
        <v>2.3010000000000002</v>
      </c>
      <c r="P30" s="1">
        <v>0.90300000000000002</v>
      </c>
      <c r="Q30" s="1">
        <v>1.8499000000000001</v>
      </c>
      <c r="R30" s="1">
        <v>-6.1322999999999999</v>
      </c>
      <c r="S30" s="1">
        <v>1.2800000000000001E-2</v>
      </c>
      <c r="T30" s="1">
        <v>0.92120000000000002</v>
      </c>
      <c r="U30" s="1">
        <v>2.5023</v>
      </c>
      <c r="V30" s="1">
        <v>1.5861000000000001</v>
      </c>
      <c r="W30" s="1">
        <v>100.9</v>
      </c>
      <c r="X30" s="1">
        <v>1</v>
      </c>
      <c r="Y30" s="1">
        <v>1.6155999999999999</v>
      </c>
      <c r="AA30" s="1">
        <v>0.47839999999999999</v>
      </c>
      <c r="AB30" s="1">
        <v>-0.56259999999999999</v>
      </c>
      <c r="AC30" s="1">
        <v>0.27129999999999999</v>
      </c>
      <c r="AD30" s="1">
        <v>3.0238999999999998</v>
      </c>
      <c r="AE30" s="1">
        <v>4.7304000000000004</v>
      </c>
      <c r="AF30" s="1">
        <v>1.9176</v>
      </c>
    </row>
    <row r="31" spans="1:32" x14ac:dyDescent="0.2">
      <c r="A31" s="1">
        <v>13</v>
      </c>
      <c r="B31" s="1">
        <v>1</v>
      </c>
      <c r="C31" s="1">
        <v>25</v>
      </c>
      <c r="D31" s="1">
        <v>1</v>
      </c>
      <c r="E31" s="1">
        <v>1.9698</v>
      </c>
      <c r="F31" s="1">
        <v>0.77829999999999999</v>
      </c>
      <c r="G31" s="1">
        <v>9.3970000000000002</v>
      </c>
      <c r="H31" s="1">
        <v>8.8173999999999992</v>
      </c>
      <c r="I31" s="1">
        <v>2.0999999999999999E-3</v>
      </c>
      <c r="J31" s="1">
        <v>2.2385999999999999</v>
      </c>
      <c r="K31" s="1">
        <v>3.6234000000000002</v>
      </c>
      <c r="L31" s="1">
        <v>1.9085000000000001</v>
      </c>
      <c r="M31" s="1">
        <v>-55.1</v>
      </c>
      <c r="N31" s="1">
        <v>1</v>
      </c>
      <c r="O31" s="1">
        <v>2.3898000000000001</v>
      </c>
      <c r="P31" s="1">
        <v>0.89770000000000005</v>
      </c>
      <c r="Q31" s="1">
        <v>10.4274</v>
      </c>
      <c r="R31" s="1">
        <v>10.1698</v>
      </c>
      <c r="S31" s="1">
        <v>2.18E-2</v>
      </c>
      <c r="T31" s="1">
        <v>1.1559999999999999</v>
      </c>
      <c r="U31" s="1">
        <v>2.5124</v>
      </c>
      <c r="V31" s="1">
        <v>1.7386999999999999</v>
      </c>
      <c r="W31" s="1">
        <v>100.4</v>
      </c>
      <c r="X31" s="1">
        <v>1</v>
      </c>
      <c r="Y31" s="1">
        <v>1.4597</v>
      </c>
      <c r="AA31" s="1">
        <v>9.0106000000000002</v>
      </c>
      <c r="AB31" s="1">
        <v>9.3325999999999993</v>
      </c>
      <c r="AC31" s="1">
        <v>2.1999999999999999E-2</v>
      </c>
      <c r="AD31" s="1">
        <v>3.2536999999999998</v>
      </c>
      <c r="AE31" s="1">
        <v>4.8132999999999999</v>
      </c>
      <c r="AF31" s="1">
        <v>2.0825</v>
      </c>
    </row>
    <row r="32" spans="1:32" x14ac:dyDescent="0.2">
      <c r="A32" s="1">
        <v>14</v>
      </c>
      <c r="B32" s="1">
        <v>1</v>
      </c>
      <c r="C32" s="1">
        <v>25</v>
      </c>
      <c r="D32" s="1">
        <v>1</v>
      </c>
      <c r="E32" s="1">
        <v>1.9338</v>
      </c>
      <c r="F32" s="1">
        <v>0.77890000000000004</v>
      </c>
      <c r="G32" s="1">
        <v>9.9122000000000003</v>
      </c>
      <c r="H32" s="1">
        <v>9.9765999999999995</v>
      </c>
      <c r="I32" s="1">
        <v>2.3999999999999998E-3</v>
      </c>
      <c r="J32" s="1">
        <v>2.1448999999999998</v>
      </c>
      <c r="K32" s="1">
        <v>3.6964999999999999</v>
      </c>
      <c r="L32" s="1">
        <v>1.9229000000000001</v>
      </c>
      <c r="M32" s="1">
        <v>-55</v>
      </c>
      <c r="N32" s="1">
        <v>1</v>
      </c>
      <c r="O32" s="1">
        <v>2.3332999999999999</v>
      </c>
      <c r="P32" s="1">
        <v>0.89529999999999998</v>
      </c>
      <c r="Q32" s="1">
        <v>9.7189999999999994</v>
      </c>
      <c r="R32" s="1">
        <v>10.6206</v>
      </c>
      <c r="S32" s="1">
        <v>2.1499999999999998E-2</v>
      </c>
      <c r="T32" s="1">
        <v>1.3198000000000001</v>
      </c>
      <c r="U32" s="1">
        <v>2.6558000000000002</v>
      </c>
      <c r="V32" s="1">
        <v>1.7562</v>
      </c>
      <c r="W32" s="1">
        <v>100.5</v>
      </c>
      <c r="X32" s="1">
        <v>1</v>
      </c>
      <c r="Y32" s="1">
        <v>1.4616</v>
      </c>
      <c r="AA32" s="1">
        <v>11.1358</v>
      </c>
      <c r="AB32" s="1">
        <v>9.6546000000000003</v>
      </c>
      <c r="AC32" s="1">
        <v>2.1999999999999999E-2</v>
      </c>
      <c r="AD32" s="1">
        <v>3.2237</v>
      </c>
      <c r="AE32" s="1">
        <v>4.8780999999999999</v>
      </c>
      <c r="AF32" s="1">
        <v>2.0935000000000001</v>
      </c>
    </row>
    <row r="33" spans="1:32" x14ac:dyDescent="0.2">
      <c r="A33" s="1">
        <v>15</v>
      </c>
      <c r="B33" s="1">
        <v>1</v>
      </c>
      <c r="C33" s="1">
        <v>25</v>
      </c>
      <c r="D33" s="1">
        <v>1</v>
      </c>
      <c r="E33" s="1">
        <v>1.9071</v>
      </c>
      <c r="F33" s="1">
        <v>0.7722</v>
      </c>
      <c r="G33" s="1">
        <v>9.6546000000000003</v>
      </c>
      <c r="H33" s="1">
        <v>10.4274</v>
      </c>
      <c r="I33" s="1">
        <v>2.7000000000000001E-3</v>
      </c>
      <c r="J33" s="1">
        <v>2.2860999999999998</v>
      </c>
      <c r="K33" s="1">
        <v>3.6532</v>
      </c>
      <c r="L33" s="1">
        <v>2.2936000000000001</v>
      </c>
      <c r="M33" s="1">
        <v>-55</v>
      </c>
      <c r="N33" s="1">
        <v>1</v>
      </c>
      <c r="O33" s="1">
        <v>2.3180000000000001</v>
      </c>
      <c r="P33" s="1">
        <v>0.89439999999999997</v>
      </c>
      <c r="Q33" s="1">
        <v>10.4918</v>
      </c>
      <c r="R33" s="1">
        <v>10.105399999999999</v>
      </c>
      <c r="S33" s="1">
        <v>2.07E-2</v>
      </c>
      <c r="T33" s="1">
        <v>1.2968999999999999</v>
      </c>
      <c r="U33" s="1">
        <v>2.5960999999999999</v>
      </c>
      <c r="V33" s="1">
        <v>2.1149</v>
      </c>
      <c r="W33" s="1">
        <v>100.6</v>
      </c>
      <c r="X33" s="1">
        <v>1</v>
      </c>
      <c r="Y33" s="1">
        <v>1.4023000000000001</v>
      </c>
      <c r="AA33" s="1">
        <v>10.813800000000001</v>
      </c>
      <c r="AB33" s="1">
        <v>8.3021999999999991</v>
      </c>
      <c r="AC33" s="1">
        <v>2.23E-2</v>
      </c>
      <c r="AD33" s="1">
        <v>3.4306000000000001</v>
      </c>
      <c r="AE33" s="1">
        <v>4.8733000000000004</v>
      </c>
      <c r="AF33" s="1">
        <v>2.4853999999999998</v>
      </c>
    </row>
    <row r="34" spans="1:32" x14ac:dyDescent="0.2">
      <c r="A34" s="1">
        <v>16</v>
      </c>
      <c r="B34" s="1">
        <v>1</v>
      </c>
      <c r="C34" s="1">
        <v>25.1</v>
      </c>
      <c r="D34" s="1">
        <v>1</v>
      </c>
      <c r="E34" s="1">
        <v>2.0146999999999999</v>
      </c>
      <c r="F34" s="1">
        <v>0.77500000000000002</v>
      </c>
      <c r="G34" s="1">
        <v>9.9765999999999995</v>
      </c>
      <c r="H34" s="1">
        <v>10.2342</v>
      </c>
      <c r="I34" s="1">
        <v>2.2000000000000001E-3</v>
      </c>
      <c r="J34" s="1">
        <v>2.2948</v>
      </c>
      <c r="K34" s="1">
        <v>3.57</v>
      </c>
      <c r="L34" s="1">
        <v>2.0693000000000001</v>
      </c>
      <c r="M34" s="1">
        <v>-55.1</v>
      </c>
      <c r="N34" s="1">
        <v>1</v>
      </c>
      <c r="O34" s="1">
        <v>2.4548999999999999</v>
      </c>
      <c r="P34" s="1">
        <v>0.89319999999999999</v>
      </c>
      <c r="Q34" s="1">
        <v>10.6206</v>
      </c>
      <c r="R34" s="1">
        <v>10.4274</v>
      </c>
      <c r="S34" s="1">
        <v>2.1399999999999999E-2</v>
      </c>
      <c r="T34" s="1">
        <v>1.24</v>
      </c>
      <c r="U34" s="1">
        <v>2.4885999999999999</v>
      </c>
      <c r="V34" s="1">
        <v>1.8966000000000001</v>
      </c>
      <c r="W34" s="1">
        <v>100.4</v>
      </c>
      <c r="X34" s="1">
        <v>1</v>
      </c>
      <c r="Y34" s="1">
        <v>1.4871000000000001</v>
      </c>
      <c r="AA34" s="1">
        <v>10.4274</v>
      </c>
      <c r="AB34" s="1">
        <v>9.5258000000000003</v>
      </c>
      <c r="AC34" s="1">
        <v>2.2499999999999999E-2</v>
      </c>
      <c r="AD34" s="1">
        <v>3.3237000000000001</v>
      </c>
      <c r="AE34" s="1">
        <v>4.8220999999999998</v>
      </c>
      <c r="AF34" s="1">
        <v>2.2484999999999999</v>
      </c>
    </row>
    <row r="35" spans="1:32" x14ac:dyDescent="0.2">
      <c r="A35" s="1">
        <v>17</v>
      </c>
      <c r="B35" s="1">
        <v>1</v>
      </c>
      <c r="C35" s="1">
        <v>25.1</v>
      </c>
      <c r="D35" s="1">
        <v>1</v>
      </c>
      <c r="E35" s="1">
        <v>1.9048</v>
      </c>
      <c r="F35" s="1">
        <v>0.77490000000000003</v>
      </c>
      <c r="G35" s="1">
        <v>12.359400000000001</v>
      </c>
      <c r="H35" s="1">
        <v>11.007</v>
      </c>
      <c r="I35" s="1">
        <v>2.5999999999999999E-3</v>
      </c>
      <c r="J35" s="1">
        <v>2.3614999999999999</v>
      </c>
      <c r="K35" s="1">
        <v>3.6377000000000002</v>
      </c>
      <c r="L35" s="1">
        <v>2.1728999999999998</v>
      </c>
      <c r="M35" s="1">
        <v>-55.2</v>
      </c>
      <c r="N35" s="1">
        <v>1</v>
      </c>
      <c r="O35" s="1">
        <v>2.3008999999999999</v>
      </c>
      <c r="P35" s="1">
        <v>0.89290000000000003</v>
      </c>
      <c r="Q35" s="1">
        <v>10.363</v>
      </c>
      <c r="R35" s="1">
        <v>9.7189999999999994</v>
      </c>
      <c r="S35" s="1">
        <v>2.3900000000000001E-2</v>
      </c>
      <c r="T35" s="1">
        <v>1.2904</v>
      </c>
      <c r="U35" s="1">
        <v>2.5943999999999998</v>
      </c>
      <c r="V35" s="1">
        <v>1.9998</v>
      </c>
      <c r="W35" s="1">
        <v>100.3</v>
      </c>
      <c r="X35" s="1">
        <v>1</v>
      </c>
      <c r="Y35" s="1">
        <v>1.4255</v>
      </c>
      <c r="AA35" s="1">
        <v>10.7494</v>
      </c>
      <c r="AB35" s="1">
        <v>10.685</v>
      </c>
      <c r="AC35" s="1">
        <v>2.35E-2</v>
      </c>
      <c r="AD35" s="1">
        <v>3.4777999999999998</v>
      </c>
      <c r="AE35" s="1">
        <v>4.8692000000000002</v>
      </c>
      <c r="AF35" s="1">
        <v>2.3580000000000001</v>
      </c>
    </row>
    <row r="36" spans="1:32" x14ac:dyDescent="0.2">
      <c r="A36" s="1">
        <v>18</v>
      </c>
      <c r="B36" s="1">
        <v>1</v>
      </c>
      <c r="C36" s="1">
        <v>25</v>
      </c>
      <c r="D36" s="1">
        <v>1</v>
      </c>
      <c r="E36" s="1">
        <v>2.0661999999999998</v>
      </c>
      <c r="F36" s="1">
        <v>0.77949999999999997</v>
      </c>
      <c r="G36" s="1">
        <v>0.51470000000000005</v>
      </c>
      <c r="H36" s="1">
        <v>-0.4158</v>
      </c>
      <c r="I36" s="1">
        <v>1.6999999999999999E-3</v>
      </c>
      <c r="J36" s="1">
        <v>3.1088</v>
      </c>
      <c r="K36" s="1">
        <v>3.4786999999999999</v>
      </c>
      <c r="L36" s="1">
        <v>2.0024000000000002</v>
      </c>
      <c r="M36" s="1">
        <v>-55.4</v>
      </c>
      <c r="N36" s="1">
        <v>1</v>
      </c>
      <c r="O36" s="1">
        <v>2.3008000000000002</v>
      </c>
      <c r="P36" s="1">
        <v>0.90529999999999999</v>
      </c>
      <c r="Q36" s="1">
        <v>0.39029999999999998</v>
      </c>
      <c r="R36" s="1">
        <v>-0.96730000000000005</v>
      </c>
      <c r="S36" s="1">
        <v>1.23E-2</v>
      </c>
      <c r="T36" s="1">
        <v>1.0760000000000001</v>
      </c>
      <c r="U36" s="1">
        <v>2.3940999999999999</v>
      </c>
      <c r="V36" s="1">
        <v>1.8207</v>
      </c>
      <c r="W36" s="1">
        <v>100.5</v>
      </c>
      <c r="X36" s="1">
        <v>1</v>
      </c>
      <c r="Y36" s="1">
        <v>1.472</v>
      </c>
      <c r="AA36" s="1">
        <v>0.38940000000000002</v>
      </c>
      <c r="AB36" s="1">
        <v>-0.52310000000000001</v>
      </c>
      <c r="AC36" s="1">
        <v>0.38519999999999999</v>
      </c>
      <c r="AD36" s="1">
        <v>3.141</v>
      </c>
      <c r="AE36" s="1">
        <v>4.7866999999999997</v>
      </c>
      <c r="AF36" s="1">
        <v>2.1998000000000002</v>
      </c>
    </row>
    <row r="37" spans="1:32" x14ac:dyDescent="0.2">
      <c r="A37" s="1">
        <v>19</v>
      </c>
      <c r="B37" s="1">
        <v>1</v>
      </c>
      <c r="C37" s="1">
        <v>25</v>
      </c>
      <c r="D37" s="1">
        <v>1</v>
      </c>
      <c r="E37" s="1">
        <v>2.0783999999999998</v>
      </c>
      <c r="F37" s="1">
        <v>0.78100000000000003</v>
      </c>
      <c r="G37" s="1">
        <v>0.49399999999999999</v>
      </c>
      <c r="H37" s="1">
        <v>-0.50409999999999999</v>
      </c>
      <c r="I37" s="1">
        <v>1.4E-3</v>
      </c>
      <c r="J37" s="1">
        <v>3.3109999999999999</v>
      </c>
      <c r="K37" s="1">
        <v>3.5646</v>
      </c>
      <c r="L37" s="1">
        <v>2.0651999999999999</v>
      </c>
      <c r="M37" s="1">
        <v>-55.5</v>
      </c>
      <c r="N37" s="1">
        <v>1</v>
      </c>
      <c r="O37" s="1">
        <v>2.3010999999999999</v>
      </c>
      <c r="P37" s="1">
        <v>0.90300000000000002</v>
      </c>
      <c r="Q37" s="1">
        <v>3.6334</v>
      </c>
      <c r="R37" s="1">
        <v>-9.2057000000000002</v>
      </c>
      <c r="S37" s="1">
        <v>1.26E-2</v>
      </c>
      <c r="T37" s="1">
        <v>0.98209999999999997</v>
      </c>
      <c r="U37" s="1">
        <v>2.3342000000000001</v>
      </c>
      <c r="V37" s="1">
        <v>1.8931</v>
      </c>
      <c r="W37" s="1">
        <v>100.3</v>
      </c>
      <c r="X37" s="1">
        <v>1</v>
      </c>
      <c r="Y37" s="1">
        <v>1.5058</v>
      </c>
      <c r="AA37" s="1">
        <v>0.58009999999999995</v>
      </c>
      <c r="AB37" s="1">
        <v>-0.69689999999999996</v>
      </c>
      <c r="AC37" s="1">
        <v>0.28339999999999999</v>
      </c>
      <c r="AD37" s="1">
        <v>3.1854</v>
      </c>
      <c r="AE37" s="1">
        <v>4.8159000000000001</v>
      </c>
      <c r="AF37" s="1">
        <v>2.2549999999999999</v>
      </c>
    </row>
    <row r="38" spans="1:32" x14ac:dyDescent="0.2">
      <c r="A38" s="1">
        <v>20</v>
      </c>
      <c r="B38" s="1">
        <v>1</v>
      </c>
      <c r="C38" s="1">
        <v>25</v>
      </c>
      <c r="D38" s="1">
        <v>1</v>
      </c>
      <c r="E38" s="1">
        <v>2.0007000000000001</v>
      </c>
      <c r="F38" s="1">
        <v>0.77539999999999998</v>
      </c>
      <c r="G38" s="1">
        <v>9.1394000000000002</v>
      </c>
      <c r="H38" s="1">
        <v>10.2986</v>
      </c>
      <c r="I38" s="1">
        <v>2.3999999999999998E-3</v>
      </c>
      <c r="J38" s="1">
        <v>2.1838000000000002</v>
      </c>
      <c r="K38" s="1">
        <v>3.6457999999999999</v>
      </c>
      <c r="L38" s="1">
        <v>2.1541000000000001</v>
      </c>
      <c r="M38" s="1">
        <v>-55</v>
      </c>
      <c r="N38" s="1">
        <v>1</v>
      </c>
      <c r="O38" s="1">
        <v>2.4357000000000002</v>
      </c>
      <c r="P38" s="1">
        <v>0.89239999999999997</v>
      </c>
      <c r="Q38" s="1">
        <v>11.3934</v>
      </c>
      <c r="R38" s="1">
        <v>10.5562</v>
      </c>
      <c r="S38" s="1">
        <v>2.0400000000000001E-2</v>
      </c>
      <c r="T38" s="1">
        <v>1.282</v>
      </c>
      <c r="U38" s="1">
        <v>2.5066999999999999</v>
      </c>
      <c r="V38" s="1">
        <v>1.9823999999999999</v>
      </c>
      <c r="W38" s="1">
        <v>100.5</v>
      </c>
      <c r="X38" s="1">
        <v>1</v>
      </c>
      <c r="Y38" s="1">
        <v>1.4793000000000001</v>
      </c>
      <c r="AA38" s="1">
        <v>10.5562</v>
      </c>
      <c r="AB38" s="1">
        <v>8.8173999999999992</v>
      </c>
      <c r="AC38" s="1">
        <v>2.07E-2</v>
      </c>
      <c r="AD38" s="1">
        <v>3.4716</v>
      </c>
      <c r="AE38" s="1">
        <v>4.8070000000000004</v>
      </c>
      <c r="AF38" s="1">
        <v>2.3369</v>
      </c>
    </row>
    <row r="39" spans="1:32" x14ac:dyDescent="0.2">
      <c r="A39" s="1">
        <v>21</v>
      </c>
      <c r="B39" s="1">
        <v>1</v>
      </c>
      <c r="C39" s="1">
        <v>25.1</v>
      </c>
      <c r="D39" s="1">
        <v>1</v>
      </c>
      <c r="E39" s="1">
        <v>2.1072000000000002</v>
      </c>
      <c r="F39" s="1">
        <v>0.78210000000000002</v>
      </c>
      <c r="G39" s="1">
        <v>0.32090000000000002</v>
      </c>
      <c r="H39" s="1">
        <v>-0.48580000000000001</v>
      </c>
      <c r="I39" s="1">
        <v>1.2999999999999999E-3</v>
      </c>
      <c r="J39" s="1">
        <v>3.1876000000000002</v>
      </c>
      <c r="K39" s="1">
        <v>3.4691999999999998</v>
      </c>
      <c r="L39" s="1">
        <v>1.8160000000000001</v>
      </c>
      <c r="M39" s="1">
        <v>-55.2</v>
      </c>
      <c r="N39" s="1">
        <v>1</v>
      </c>
      <c r="O39" s="1">
        <v>2.3006000000000002</v>
      </c>
      <c r="P39" s="1">
        <v>0.90229999999999999</v>
      </c>
      <c r="Q39" s="1">
        <v>6.5834999999999999</v>
      </c>
      <c r="R39" s="1">
        <v>-21.573899999999998</v>
      </c>
      <c r="S39" s="1">
        <v>1.06E-2</v>
      </c>
      <c r="T39" s="1">
        <v>1.0998000000000001</v>
      </c>
      <c r="U39" s="1">
        <v>2.3267000000000002</v>
      </c>
      <c r="V39" s="1">
        <v>1.6503000000000001</v>
      </c>
      <c r="W39" s="1">
        <v>100.9</v>
      </c>
      <c r="X39" s="1">
        <v>1</v>
      </c>
      <c r="Y39" s="1">
        <v>1.5318000000000001</v>
      </c>
      <c r="AA39" s="1">
        <v>0.37119999999999997</v>
      </c>
      <c r="AB39" s="1">
        <v>-0.49059999999999998</v>
      </c>
      <c r="AC39" s="1">
        <v>0.29210000000000003</v>
      </c>
      <c r="AD39" s="1">
        <v>2.9813000000000001</v>
      </c>
      <c r="AE39" s="1">
        <v>4.6463999999999999</v>
      </c>
      <c r="AF39" s="1">
        <v>1.9901</v>
      </c>
    </row>
    <row r="40" spans="1:32" x14ac:dyDescent="0.2">
      <c r="A40" s="1">
        <v>22</v>
      </c>
      <c r="B40" s="1">
        <v>1</v>
      </c>
      <c r="C40" s="1">
        <v>25</v>
      </c>
      <c r="D40" s="1">
        <v>1</v>
      </c>
      <c r="E40" s="1">
        <v>1.9810000000000001</v>
      </c>
      <c r="F40" s="1">
        <v>0.77349999999999997</v>
      </c>
      <c r="G40" s="1">
        <v>10.7494</v>
      </c>
      <c r="H40" s="1">
        <v>9.2682000000000002</v>
      </c>
      <c r="I40" s="1">
        <v>2.5000000000000001E-3</v>
      </c>
      <c r="J40" s="1">
        <v>2.1772999999999998</v>
      </c>
      <c r="K40" s="1">
        <v>3.5952999999999999</v>
      </c>
      <c r="L40" s="1">
        <v>2.1055000000000001</v>
      </c>
      <c r="M40" s="1">
        <v>-55.2</v>
      </c>
      <c r="N40" s="1">
        <v>1</v>
      </c>
      <c r="O40" s="1">
        <v>2.4108000000000001</v>
      </c>
      <c r="P40" s="1">
        <v>0.89290000000000003</v>
      </c>
      <c r="Q40" s="1">
        <v>11.457800000000001</v>
      </c>
      <c r="R40" s="1">
        <v>11.3934</v>
      </c>
      <c r="S40" s="1">
        <v>2.1999999999999999E-2</v>
      </c>
      <c r="T40" s="1">
        <v>1.2819</v>
      </c>
      <c r="U40" s="1">
        <v>2.4828999999999999</v>
      </c>
      <c r="V40" s="1">
        <v>1.9315</v>
      </c>
      <c r="W40" s="1">
        <v>100.4</v>
      </c>
      <c r="X40" s="1">
        <v>1</v>
      </c>
      <c r="Y40" s="1">
        <v>1.4619</v>
      </c>
      <c r="AA40" s="1">
        <v>11.2646</v>
      </c>
      <c r="AB40" s="1">
        <v>9.6546000000000003</v>
      </c>
      <c r="AC40" s="1">
        <v>2.1899999999999999E-2</v>
      </c>
      <c r="AD40" s="1">
        <v>3.4104000000000001</v>
      </c>
      <c r="AE40" s="1">
        <v>4.7850999999999999</v>
      </c>
      <c r="AF40" s="1">
        <v>2.2887</v>
      </c>
    </row>
    <row r="41" spans="1:32" x14ac:dyDescent="0.2">
      <c r="A41" s="1">
        <v>23</v>
      </c>
      <c r="B41" s="1">
        <v>1</v>
      </c>
      <c r="C41" s="1">
        <v>24.7</v>
      </c>
      <c r="D41" s="1">
        <v>1</v>
      </c>
      <c r="E41" s="1">
        <v>2.0764</v>
      </c>
      <c r="F41" s="1">
        <v>0.77900000000000003</v>
      </c>
      <c r="G41" s="1">
        <v>0.32829999999999998</v>
      </c>
      <c r="H41" s="1">
        <v>-0.64590000000000003</v>
      </c>
      <c r="I41" s="1">
        <v>1.1999999999999999E-3</v>
      </c>
      <c r="J41" s="1">
        <v>3.0200999999999998</v>
      </c>
      <c r="K41" s="1">
        <v>3.4211</v>
      </c>
      <c r="L41" s="1">
        <v>1.9796</v>
      </c>
      <c r="M41" s="1">
        <v>-55.2</v>
      </c>
      <c r="N41" s="1">
        <v>1</v>
      </c>
      <c r="O41" s="1">
        <v>2.3012999999999999</v>
      </c>
      <c r="P41" s="1">
        <v>0.90159999999999996</v>
      </c>
      <c r="Q41" s="1">
        <v>0.51770000000000005</v>
      </c>
      <c r="R41" s="1">
        <v>-0.60819999999999996</v>
      </c>
      <c r="S41" s="1">
        <v>1.49E-2</v>
      </c>
      <c r="T41" s="1">
        <v>1.0979000000000001</v>
      </c>
      <c r="U41" s="1">
        <v>2.3593999999999999</v>
      </c>
      <c r="V41" s="1">
        <v>1.8052999999999999</v>
      </c>
      <c r="W41" s="1">
        <v>100.6</v>
      </c>
      <c r="X41" s="1">
        <v>1</v>
      </c>
      <c r="Y41" s="1">
        <v>1.5125999999999999</v>
      </c>
      <c r="AA41" s="1">
        <v>0.54410000000000003</v>
      </c>
      <c r="AB41" s="1">
        <v>-0.60070000000000001</v>
      </c>
      <c r="AC41" s="1">
        <v>0.30220000000000002</v>
      </c>
      <c r="AD41" s="1">
        <v>3.1345999999999998</v>
      </c>
      <c r="AE41" s="1">
        <v>4.7077</v>
      </c>
      <c r="AF41" s="1">
        <v>2.1657000000000002</v>
      </c>
    </row>
    <row r="42" spans="1:32" x14ac:dyDescent="0.2">
      <c r="A42" s="1">
        <v>24</v>
      </c>
      <c r="B42" s="1">
        <v>1</v>
      </c>
      <c r="C42" s="1">
        <v>25.1</v>
      </c>
      <c r="D42" s="1">
        <v>1</v>
      </c>
      <c r="E42" s="1">
        <v>2.0261</v>
      </c>
      <c r="F42" s="1">
        <v>0.77339999999999998</v>
      </c>
      <c r="G42" s="1">
        <v>11.7798</v>
      </c>
      <c r="H42" s="1">
        <v>10.105399999999999</v>
      </c>
      <c r="I42" s="1">
        <v>2.5000000000000001E-3</v>
      </c>
      <c r="J42" s="1">
        <v>2.4087000000000001</v>
      </c>
      <c r="K42" s="1">
        <v>3.6494</v>
      </c>
      <c r="L42" s="1">
        <v>2.2372999999999998</v>
      </c>
      <c r="M42" s="1">
        <v>-55.2</v>
      </c>
      <c r="N42" s="1">
        <v>1</v>
      </c>
      <c r="O42" s="1">
        <v>2.4710000000000001</v>
      </c>
      <c r="P42" s="1">
        <v>0.89459999999999995</v>
      </c>
      <c r="Q42" s="1">
        <v>12.230600000000001</v>
      </c>
      <c r="R42" s="1">
        <v>9.7834000000000003</v>
      </c>
      <c r="S42" s="1">
        <v>2.23E-2</v>
      </c>
      <c r="T42" s="1">
        <v>1.3051999999999999</v>
      </c>
      <c r="U42" s="1">
        <v>2.5880999999999998</v>
      </c>
      <c r="V42" s="1">
        <v>2.0562</v>
      </c>
      <c r="W42" s="1">
        <v>100.6</v>
      </c>
      <c r="X42" s="1">
        <v>1</v>
      </c>
      <c r="Y42" s="1">
        <v>1.4829000000000001</v>
      </c>
      <c r="AA42" s="1">
        <v>11.3934</v>
      </c>
      <c r="AB42" s="1">
        <v>9.3325999999999993</v>
      </c>
      <c r="AC42" s="1">
        <v>2.2100000000000002E-2</v>
      </c>
      <c r="AD42" s="1">
        <v>3.4472</v>
      </c>
      <c r="AE42" s="1">
        <v>4.8872</v>
      </c>
      <c r="AF42" s="1">
        <v>2.4293999999999998</v>
      </c>
    </row>
    <row r="43" spans="1:32" x14ac:dyDescent="0.2">
      <c r="A43" s="1">
        <v>25</v>
      </c>
      <c r="B43" s="1">
        <v>1</v>
      </c>
      <c r="C43" s="1">
        <v>25.1</v>
      </c>
      <c r="D43" s="1">
        <v>1</v>
      </c>
      <c r="E43" s="1">
        <v>1.9172</v>
      </c>
      <c r="F43" s="1">
        <v>0.77200000000000002</v>
      </c>
      <c r="G43" s="1">
        <v>10.363</v>
      </c>
      <c r="H43" s="1">
        <v>9.7834000000000003</v>
      </c>
      <c r="I43" s="1">
        <v>2.3999999999999998E-3</v>
      </c>
      <c r="J43" s="1">
        <v>2.3279999999999998</v>
      </c>
      <c r="K43" s="1">
        <v>3.5802999999999998</v>
      </c>
      <c r="L43" s="1">
        <v>2.3005</v>
      </c>
      <c r="M43" s="1">
        <v>-55.3</v>
      </c>
      <c r="N43" s="1">
        <v>1</v>
      </c>
      <c r="O43" s="1">
        <v>2.3340000000000001</v>
      </c>
      <c r="P43" s="1">
        <v>0.89229999999999998</v>
      </c>
      <c r="Q43" s="1">
        <v>9.8477999999999994</v>
      </c>
      <c r="R43" s="1">
        <v>9.4613999999999994</v>
      </c>
      <c r="S43" s="1">
        <v>2.1899999999999999E-2</v>
      </c>
      <c r="T43" s="1">
        <v>1.3027</v>
      </c>
      <c r="U43" s="1">
        <v>2.4826999999999999</v>
      </c>
      <c r="V43" s="1">
        <v>2.1232000000000002</v>
      </c>
      <c r="W43" s="1">
        <v>100.5</v>
      </c>
      <c r="X43" s="1">
        <v>1</v>
      </c>
      <c r="Y43" s="1">
        <v>1.4052</v>
      </c>
      <c r="AA43" s="1">
        <v>10.8782</v>
      </c>
      <c r="AB43" s="1">
        <v>9.9765999999999995</v>
      </c>
      <c r="AC43" s="1">
        <v>2.1700000000000001E-2</v>
      </c>
      <c r="AD43" s="1">
        <v>3.4458000000000002</v>
      </c>
      <c r="AE43" s="1">
        <v>4.8079000000000001</v>
      </c>
      <c r="AF43" s="1">
        <v>2.4914999999999998</v>
      </c>
    </row>
    <row r="44" spans="1:32" x14ac:dyDescent="0.2">
      <c r="A44" s="1">
        <v>26</v>
      </c>
      <c r="B44" s="1">
        <v>1</v>
      </c>
      <c r="C44" s="1">
        <v>25.1</v>
      </c>
      <c r="D44" s="1">
        <v>1</v>
      </c>
      <c r="E44" s="1">
        <v>1.9134</v>
      </c>
      <c r="F44" s="1">
        <v>0.77100000000000002</v>
      </c>
      <c r="G44" s="1">
        <v>9.3325999999999993</v>
      </c>
      <c r="H44" s="1">
        <v>12.0374</v>
      </c>
      <c r="I44" s="1">
        <v>2.5000000000000001E-3</v>
      </c>
      <c r="J44" s="1">
        <v>2.2898999999999998</v>
      </c>
      <c r="K44" s="1">
        <v>3.6158999999999999</v>
      </c>
      <c r="L44" s="1">
        <v>2.2989000000000002</v>
      </c>
      <c r="M44" s="1">
        <v>-55.2</v>
      </c>
      <c r="N44" s="1">
        <v>1</v>
      </c>
      <c r="O44" s="1">
        <v>2.3428</v>
      </c>
      <c r="P44" s="1">
        <v>0.89219999999999999</v>
      </c>
      <c r="Q44" s="1">
        <v>11.329000000000001</v>
      </c>
      <c r="R44" s="1">
        <v>10.5562</v>
      </c>
      <c r="S44" s="1">
        <v>2.23E-2</v>
      </c>
      <c r="T44" s="1">
        <v>1.2646999999999999</v>
      </c>
      <c r="U44" s="1">
        <v>2.4796999999999998</v>
      </c>
      <c r="V44" s="1">
        <v>2.121</v>
      </c>
      <c r="W44" s="1">
        <v>100.4</v>
      </c>
      <c r="X44" s="1">
        <v>1</v>
      </c>
      <c r="Y44" s="1">
        <v>1.3927</v>
      </c>
      <c r="AA44" s="1">
        <v>8.7530000000000001</v>
      </c>
      <c r="AB44" s="1">
        <v>7.6582999999999997</v>
      </c>
      <c r="AC44" s="1">
        <v>2.23E-2</v>
      </c>
      <c r="AD44" s="1">
        <v>3.4695</v>
      </c>
      <c r="AE44" s="1">
        <v>4.8151999999999999</v>
      </c>
      <c r="AF44" s="1">
        <v>2.4908000000000001</v>
      </c>
    </row>
    <row r="45" spans="1:32" x14ac:dyDescent="0.2">
      <c r="A45" s="1">
        <v>27</v>
      </c>
      <c r="B45" s="1">
        <v>1</v>
      </c>
      <c r="C45" s="1">
        <v>25.1</v>
      </c>
      <c r="D45" s="1">
        <v>1</v>
      </c>
      <c r="E45" s="1">
        <v>2.1002000000000001</v>
      </c>
      <c r="F45" s="1">
        <v>0.77949999999999997</v>
      </c>
      <c r="G45" s="1">
        <v>0.36699999999999999</v>
      </c>
      <c r="H45" s="1">
        <v>-0.60829999999999995</v>
      </c>
      <c r="I45" s="1">
        <v>1.2999999999999999E-3</v>
      </c>
      <c r="J45" s="1">
        <v>3.1057000000000001</v>
      </c>
      <c r="K45" s="1">
        <v>3.4725000000000001</v>
      </c>
      <c r="L45" s="1">
        <v>1.9097999999999999</v>
      </c>
      <c r="M45" s="1">
        <v>-55.5</v>
      </c>
      <c r="N45" s="1">
        <v>1</v>
      </c>
      <c r="O45" s="1">
        <v>2.3005</v>
      </c>
      <c r="P45" s="1">
        <v>0.9012</v>
      </c>
      <c r="Q45" s="1">
        <v>8.8526000000000007</v>
      </c>
      <c r="R45" s="1">
        <v>-14.2562</v>
      </c>
      <c r="S45" s="1">
        <v>1.35E-2</v>
      </c>
      <c r="T45" s="1">
        <v>1.0919000000000001</v>
      </c>
      <c r="U45" s="1">
        <v>2.4232999999999998</v>
      </c>
      <c r="V45" s="1">
        <v>1.7342</v>
      </c>
      <c r="W45" s="1">
        <v>100.9</v>
      </c>
      <c r="X45" s="1">
        <v>1</v>
      </c>
      <c r="Y45" s="1">
        <v>1.5308999999999999</v>
      </c>
      <c r="AA45" s="1">
        <v>0.3705</v>
      </c>
      <c r="AB45" s="1">
        <v>-0.61250000000000004</v>
      </c>
      <c r="AC45" s="1">
        <v>0.29870000000000002</v>
      </c>
      <c r="AD45" s="1">
        <v>3.1654</v>
      </c>
      <c r="AE45" s="1">
        <v>4.7247000000000003</v>
      </c>
      <c r="AF45" s="1">
        <v>2.0874999999999999</v>
      </c>
    </row>
    <row r="46" spans="1:32" x14ac:dyDescent="0.2">
      <c r="A46" s="1">
        <v>28</v>
      </c>
      <c r="B46" s="1">
        <v>1</v>
      </c>
      <c r="C46" s="1">
        <v>25.1</v>
      </c>
      <c r="D46" s="1">
        <v>1</v>
      </c>
      <c r="E46" s="1">
        <v>2.0004</v>
      </c>
      <c r="F46" s="1">
        <v>0.77429999999999999</v>
      </c>
      <c r="G46" s="1">
        <v>10.2986</v>
      </c>
      <c r="H46" s="1">
        <v>9.2037999999999993</v>
      </c>
      <c r="I46" s="1">
        <v>2.5000000000000001E-3</v>
      </c>
      <c r="J46" s="1">
        <v>2.2559</v>
      </c>
      <c r="K46" s="1">
        <v>3.5741999999999998</v>
      </c>
      <c r="L46" s="1">
        <v>2.0973000000000002</v>
      </c>
      <c r="M46" s="1">
        <v>-55.3</v>
      </c>
      <c r="N46" s="1">
        <v>1</v>
      </c>
      <c r="O46" s="1">
        <v>2.4333</v>
      </c>
      <c r="P46" s="1">
        <v>0.89559999999999995</v>
      </c>
      <c r="Q46" s="1">
        <v>10.813800000000001</v>
      </c>
      <c r="R46" s="1">
        <v>11.2646</v>
      </c>
      <c r="S46" s="1">
        <v>2.18E-2</v>
      </c>
      <c r="T46" s="1">
        <v>1.3376999999999999</v>
      </c>
      <c r="U46" s="1">
        <v>2.5375999999999999</v>
      </c>
      <c r="V46" s="1">
        <v>1.9202999999999999</v>
      </c>
      <c r="W46" s="1">
        <v>100.5</v>
      </c>
      <c r="X46" s="1">
        <v>1</v>
      </c>
      <c r="Y46" s="1">
        <v>1.4702999999999999</v>
      </c>
      <c r="AA46" s="1">
        <v>10.8782</v>
      </c>
      <c r="AB46" s="1">
        <v>9.4613999999999994</v>
      </c>
      <c r="AC46" s="1">
        <v>2.1700000000000001E-2</v>
      </c>
      <c r="AD46" s="1">
        <v>3.4192</v>
      </c>
      <c r="AE46" s="1">
        <v>4.8071999999999999</v>
      </c>
      <c r="AF46" s="1">
        <v>2.2814999999999999</v>
      </c>
    </row>
    <row r="47" spans="1:32" x14ac:dyDescent="0.2">
      <c r="A47" s="1">
        <v>29</v>
      </c>
      <c r="B47" s="1">
        <v>1</v>
      </c>
      <c r="C47" s="1">
        <v>25.1</v>
      </c>
      <c r="D47" s="1">
        <v>1</v>
      </c>
      <c r="E47" s="1">
        <v>1.9843</v>
      </c>
      <c r="F47" s="1">
        <v>0.77359999999999995</v>
      </c>
      <c r="G47" s="1">
        <v>10.1698</v>
      </c>
      <c r="H47" s="1">
        <v>11.457800000000001</v>
      </c>
      <c r="I47" s="1">
        <v>2.5999999999999999E-3</v>
      </c>
      <c r="J47" s="1">
        <v>2.3761000000000001</v>
      </c>
      <c r="K47" s="1">
        <v>3.6156000000000001</v>
      </c>
      <c r="L47" s="1">
        <v>2.1543000000000001</v>
      </c>
      <c r="M47" s="1">
        <v>-55.3</v>
      </c>
      <c r="N47" s="1">
        <v>1</v>
      </c>
      <c r="O47" s="1">
        <v>2.4093</v>
      </c>
      <c r="P47" s="1">
        <v>0.89159999999999995</v>
      </c>
      <c r="Q47" s="1">
        <v>10.4274</v>
      </c>
      <c r="R47" s="1">
        <v>8.8173999999999992</v>
      </c>
      <c r="S47" s="1">
        <v>2.2100000000000002E-2</v>
      </c>
      <c r="T47" s="1">
        <v>1.2943</v>
      </c>
      <c r="U47" s="1">
        <v>2.5284</v>
      </c>
      <c r="V47" s="1">
        <v>1.9798</v>
      </c>
      <c r="W47" s="1">
        <v>100.5</v>
      </c>
      <c r="X47" s="1">
        <v>1</v>
      </c>
      <c r="Y47" s="1">
        <v>1.4786999999999999</v>
      </c>
      <c r="AA47" s="1">
        <v>11.007</v>
      </c>
      <c r="AB47" s="1">
        <v>9.0106000000000002</v>
      </c>
      <c r="AC47" s="1">
        <v>2.12E-2</v>
      </c>
      <c r="AD47" s="1">
        <v>3.4727000000000001</v>
      </c>
      <c r="AE47" s="1">
        <v>4.8007</v>
      </c>
      <c r="AF47" s="1">
        <v>2.3351000000000002</v>
      </c>
    </row>
    <row r="48" spans="1:32" x14ac:dyDescent="0.2">
      <c r="A48" s="1">
        <v>30</v>
      </c>
      <c r="B48" s="1">
        <v>1</v>
      </c>
      <c r="C48" s="1">
        <v>25.1</v>
      </c>
      <c r="D48" s="1">
        <v>1</v>
      </c>
      <c r="E48" s="1">
        <v>1.9196</v>
      </c>
      <c r="F48" s="1">
        <v>0.77190000000000003</v>
      </c>
      <c r="G48" s="1">
        <v>11.844200000000001</v>
      </c>
      <c r="H48" s="1">
        <v>9.7834000000000003</v>
      </c>
      <c r="I48" s="1">
        <v>2.2000000000000001E-3</v>
      </c>
      <c r="J48" s="1">
        <v>2.4079000000000002</v>
      </c>
      <c r="K48" s="1">
        <v>3.5859999999999999</v>
      </c>
      <c r="L48" s="1">
        <v>2.2673000000000001</v>
      </c>
      <c r="M48" s="1">
        <v>-55.2</v>
      </c>
      <c r="N48" s="1">
        <v>1</v>
      </c>
      <c r="O48" s="1">
        <v>2.3595000000000002</v>
      </c>
      <c r="P48" s="1">
        <v>0.89419999999999999</v>
      </c>
      <c r="Q48" s="1">
        <v>9.7834000000000003</v>
      </c>
      <c r="R48" s="1">
        <v>9.2682000000000002</v>
      </c>
      <c r="S48" s="1">
        <v>2.2100000000000002E-2</v>
      </c>
      <c r="T48" s="1">
        <v>1.3048999999999999</v>
      </c>
      <c r="U48" s="1">
        <v>2.4550999999999998</v>
      </c>
      <c r="V48" s="1">
        <v>2.0872999999999999</v>
      </c>
      <c r="W48" s="1">
        <v>100.5</v>
      </c>
      <c r="X48" s="1">
        <v>1</v>
      </c>
      <c r="Y48" s="1">
        <v>1.3891</v>
      </c>
      <c r="AA48" s="1">
        <v>9.5901999999999994</v>
      </c>
      <c r="AB48" s="1">
        <v>11.651</v>
      </c>
      <c r="AC48" s="1">
        <v>2.1899999999999999E-2</v>
      </c>
      <c r="AD48" s="1">
        <v>3.5745</v>
      </c>
      <c r="AE48" s="1">
        <v>4.8026999999999997</v>
      </c>
      <c r="AF48" s="1">
        <v>2.4596</v>
      </c>
    </row>
    <row r="49" spans="1:32" x14ac:dyDescent="0.2">
      <c r="A49" s="1">
        <v>31</v>
      </c>
      <c r="B49" s="1">
        <v>1</v>
      </c>
      <c r="C49" s="1">
        <v>25</v>
      </c>
      <c r="D49" s="1">
        <v>1</v>
      </c>
      <c r="E49" s="1">
        <v>1.962</v>
      </c>
      <c r="F49" s="1">
        <v>0.78180000000000005</v>
      </c>
      <c r="G49" s="1">
        <v>9.5901999999999994</v>
      </c>
      <c r="H49" s="1">
        <v>9.6546000000000003</v>
      </c>
      <c r="I49" s="1">
        <v>2.3999999999999998E-3</v>
      </c>
      <c r="J49" s="1">
        <v>2.3151000000000002</v>
      </c>
      <c r="K49" s="1">
        <v>3.9853999999999998</v>
      </c>
      <c r="L49" s="1">
        <v>1.8465</v>
      </c>
      <c r="M49" s="1">
        <v>-55.2</v>
      </c>
      <c r="N49" s="1">
        <v>1</v>
      </c>
      <c r="O49" s="1">
        <v>2.3656000000000001</v>
      </c>
      <c r="P49" s="1">
        <v>0.89770000000000005</v>
      </c>
      <c r="Q49" s="1">
        <v>10.685</v>
      </c>
      <c r="R49" s="1">
        <v>9.9765999999999995</v>
      </c>
      <c r="S49" s="1">
        <v>2.0799999999999999E-2</v>
      </c>
      <c r="T49" s="1">
        <v>1.2802</v>
      </c>
      <c r="U49" s="1">
        <v>2.8929</v>
      </c>
      <c r="V49" s="1">
        <v>1.6821999999999999</v>
      </c>
      <c r="W49" s="1">
        <v>100.3</v>
      </c>
      <c r="X49" s="1">
        <v>1</v>
      </c>
      <c r="Y49" s="1">
        <v>1.4793000000000001</v>
      </c>
      <c r="AA49" s="1">
        <v>11.651</v>
      </c>
      <c r="AB49" s="1">
        <v>10.041</v>
      </c>
      <c r="AC49" s="1">
        <v>2.1000000000000001E-2</v>
      </c>
      <c r="AD49" s="1">
        <v>3.2303000000000002</v>
      </c>
      <c r="AE49" s="1">
        <v>5.0911</v>
      </c>
      <c r="AF49" s="1">
        <v>2.0167000000000002</v>
      </c>
    </row>
    <row r="50" spans="1:32" x14ac:dyDescent="0.2">
      <c r="A50" s="1">
        <v>32</v>
      </c>
      <c r="B50" s="1">
        <v>1</v>
      </c>
      <c r="C50" s="1">
        <v>25</v>
      </c>
      <c r="D50" s="1">
        <v>1</v>
      </c>
      <c r="E50" s="1">
        <v>2.0356999999999998</v>
      </c>
      <c r="F50" s="1">
        <v>0.77939999999999998</v>
      </c>
      <c r="G50" s="1">
        <v>10.8782</v>
      </c>
      <c r="H50" s="1">
        <v>8.7530000000000001</v>
      </c>
      <c r="I50" s="1">
        <v>2.3E-3</v>
      </c>
      <c r="J50" s="1">
        <v>2.2132999999999998</v>
      </c>
      <c r="K50" s="1">
        <v>3.5811999999999999</v>
      </c>
      <c r="L50" s="1">
        <v>1.8333999999999999</v>
      </c>
      <c r="M50" s="1">
        <v>-55.2</v>
      </c>
      <c r="N50" s="1">
        <v>1</v>
      </c>
      <c r="O50" s="1">
        <v>2.4809999999999999</v>
      </c>
      <c r="P50" s="1">
        <v>0.89870000000000005</v>
      </c>
      <c r="Q50" s="1">
        <v>10.7494</v>
      </c>
      <c r="R50" s="1">
        <v>10.363</v>
      </c>
      <c r="S50" s="1">
        <v>2.0500000000000001E-2</v>
      </c>
      <c r="T50" s="1">
        <v>1.2771999999999999</v>
      </c>
      <c r="U50" s="1">
        <v>2.4641999999999999</v>
      </c>
      <c r="V50" s="1">
        <v>1.6659999999999999</v>
      </c>
      <c r="W50" s="1">
        <v>100.2</v>
      </c>
      <c r="X50" s="1">
        <v>1</v>
      </c>
      <c r="Y50" s="1">
        <v>1.4966999999999999</v>
      </c>
      <c r="AA50" s="1">
        <v>11.071400000000001</v>
      </c>
      <c r="AB50" s="1">
        <v>10.105399999999999</v>
      </c>
      <c r="AC50" s="1">
        <v>2.2499999999999999E-2</v>
      </c>
      <c r="AD50" s="1">
        <v>3.2</v>
      </c>
      <c r="AE50" s="1">
        <v>4.7694999999999999</v>
      </c>
      <c r="AF50" s="1">
        <v>2.0070999999999999</v>
      </c>
    </row>
    <row r="51" spans="1:32" x14ac:dyDescent="0.2">
      <c r="A51" s="1">
        <v>33</v>
      </c>
      <c r="B51" s="1">
        <v>1</v>
      </c>
      <c r="C51" s="1">
        <v>25</v>
      </c>
      <c r="D51" s="1">
        <v>1</v>
      </c>
      <c r="E51" s="1">
        <v>1.9208000000000001</v>
      </c>
      <c r="F51" s="1">
        <v>0.77110000000000001</v>
      </c>
      <c r="G51" s="1">
        <v>10.8782</v>
      </c>
      <c r="H51" s="1">
        <v>9.8477999999999994</v>
      </c>
      <c r="I51" s="1">
        <v>2.5999999999999999E-3</v>
      </c>
      <c r="J51" s="1">
        <v>2.2999000000000001</v>
      </c>
      <c r="K51" s="1">
        <v>3.5274000000000001</v>
      </c>
      <c r="L51" s="1">
        <v>2.2381000000000002</v>
      </c>
      <c r="M51" s="1">
        <v>-55.3</v>
      </c>
      <c r="N51" s="1">
        <v>1</v>
      </c>
      <c r="O51" s="1">
        <v>2.3477999999999999</v>
      </c>
      <c r="P51" s="1">
        <v>0.89200000000000002</v>
      </c>
      <c r="Q51" s="1">
        <v>10.7494</v>
      </c>
      <c r="R51" s="1">
        <v>10.363</v>
      </c>
      <c r="S51" s="1">
        <v>2.1600000000000001E-2</v>
      </c>
      <c r="T51" s="1">
        <v>1.2990999999999999</v>
      </c>
      <c r="U51" s="1">
        <v>2.4525999999999999</v>
      </c>
      <c r="V51" s="1">
        <v>2.0608</v>
      </c>
      <c r="W51" s="1">
        <v>100.4</v>
      </c>
      <c r="X51" s="1">
        <v>1</v>
      </c>
      <c r="Y51" s="1">
        <v>1.4016999999999999</v>
      </c>
      <c r="AA51" s="1">
        <v>10.2342</v>
      </c>
      <c r="AB51" s="1">
        <v>11.007</v>
      </c>
      <c r="AC51" s="1">
        <v>1.9900000000000001E-2</v>
      </c>
      <c r="AD51" s="1">
        <v>3.3450000000000002</v>
      </c>
      <c r="AE51" s="1">
        <v>4.8170000000000002</v>
      </c>
      <c r="AF51" s="1">
        <v>2.4276</v>
      </c>
    </row>
    <row r="52" spans="1:32" x14ac:dyDescent="0.2">
      <c r="A52" s="1">
        <v>34</v>
      </c>
      <c r="B52" s="1">
        <v>1</v>
      </c>
      <c r="C52" s="1">
        <v>25</v>
      </c>
      <c r="D52" s="1">
        <v>1</v>
      </c>
      <c r="E52" s="1">
        <v>2.3006000000000002</v>
      </c>
      <c r="F52" s="1">
        <v>0.78700000000000003</v>
      </c>
      <c r="G52" s="1">
        <v>0.29270000000000002</v>
      </c>
      <c r="H52" s="1">
        <v>-0.49680000000000002</v>
      </c>
      <c r="I52" s="1">
        <v>1.6000000000000001E-3</v>
      </c>
      <c r="J52" s="1">
        <v>3.0706000000000002</v>
      </c>
      <c r="K52" s="1">
        <v>3.6623000000000001</v>
      </c>
      <c r="L52" s="1">
        <v>1.8468</v>
      </c>
      <c r="M52" s="1">
        <v>-55.1</v>
      </c>
      <c r="N52" s="1">
        <v>1</v>
      </c>
      <c r="O52" s="1">
        <v>2.3010999999999999</v>
      </c>
      <c r="P52" s="1">
        <v>0.90859999999999996</v>
      </c>
      <c r="Q52" s="1">
        <v>0.71870000000000001</v>
      </c>
      <c r="R52" s="1">
        <v>-0.96819999999999995</v>
      </c>
      <c r="S52" s="1">
        <v>1.2999999999999999E-2</v>
      </c>
      <c r="T52" s="1">
        <v>1.0291999999999999</v>
      </c>
      <c r="U52" s="1">
        <v>2.6463000000000001</v>
      </c>
      <c r="V52" s="1">
        <v>1.6775</v>
      </c>
      <c r="W52" s="1">
        <v>100.8</v>
      </c>
      <c r="X52" s="1">
        <v>1</v>
      </c>
      <c r="Y52" s="1">
        <v>1.6716</v>
      </c>
      <c r="AA52" s="1">
        <v>0.40760000000000002</v>
      </c>
      <c r="AB52" s="1">
        <v>-0.48060000000000003</v>
      </c>
      <c r="AC52" s="1">
        <v>0.2606</v>
      </c>
      <c r="AD52" s="1">
        <v>3.2145000000000001</v>
      </c>
      <c r="AE52" s="1">
        <v>4.9450000000000003</v>
      </c>
      <c r="AF52" s="1">
        <v>2.0261999999999998</v>
      </c>
    </row>
    <row r="53" spans="1:32" x14ac:dyDescent="0.2">
      <c r="A53" s="1">
        <v>35</v>
      </c>
      <c r="B53" s="1">
        <v>1</v>
      </c>
      <c r="C53" s="1">
        <v>25.1</v>
      </c>
      <c r="D53" s="1">
        <v>1</v>
      </c>
      <c r="E53" s="1">
        <v>1.9177999999999999</v>
      </c>
      <c r="F53" s="1">
        <v>0.77280000000000004</v>
      </c>
      <c r="G53" s="1">
        <v>11.5222</v>
      </c>
      <c r="H53" s="1">
        <v>9.0749999999999993</v>
      </c>
      <c r="I53" s="1">
        <v>2.5000000000000001E-3</v>
      </c>
      <c r="J53" s="1">
        <v>2.3557000000000001</v>
      </c>
      <c r="K53" s="1">
        <v>3.5750999999999999</v>
      </c>
      <c r="L53" s="1">
        <v>2.2545000000000002</v>
      </c>
      <c r="M53" s="1">
        <v>-55.1</v>
      </c>
      <c r="N53" s="1">
        <v>1</v>
      </c>
      <c r="O53" s="1">
        <v>2.331</v>
      </c>
      <c r="P53" s="1">
        <v>0.8931</v>
      </c>
      <c r="Q53" s="1">
        <v>9.1394000000000002</v>
      </c>
      <c r="R53" s="1">
        <v>11.071400000000001</v>
      </c>
      <c r="S53" s="1">
        <v>2.3300000000000001E-2</v>
      </c>
      <c r="T53" s="1">
        <v>1.3614999999999999</v>
      </c>
      <c r="U53" s="1">
        <v>2.5613000000000001</v>
      </c>
      <c r="V53" s="1">
        <v>2.0773000000000001</v>
      </c>
      <c r="W53" s="1">
        <v>100.6</v>
      </c>
      <c r="X53" s="1">
        <v>1</v>
      </c>
      <c r="Y53" s="1">
        <v>1.4097</v>
      </c>
      <c r="AA53" s="1">
        <v>10.105399999999999</v>
      </c>
      <c r="AB53" s="1">
        <v>6.9499000000000004</v>
      </c>
      <c r="AC53" s="1">
        <v>2.1399999999999999E-2</v>
      </c>
      <c r="AD53" s="1">
        <v>3.4716999999999998</v>
      </c>
      <c r="AE53" s="1">
        <v>4.8315999999999999</v>
      </c>
      <c r="AF53" s="1">
        <v>2.4419</v>
      </c>
    </row>
    <row r="54" spans="1:32" x14ac:dyDescent="0.2">
      <c r="A54" s="1">
        <v>36</v>
      </c>
      <c r="B54" s="1">
        <v>1</v>
      </c>
      <c r="C54" s="1">
        <v>25.1</v>
      </c>
      <c r="D54" s="1">
        <v>1</v>
      </c>
      <c r="E54" s="1">
        <v>2.0103</v>
      </c>
      <c r="F54" s="1">
        <v>0.77659999999999996</v>
      </c>
      <c r="G54" s="1">
        <v>9.9122000000000003</v>
      </c>
      <c r="H54" s="1">
        <v>10.2986</v>
      </c>
      <c r="I54" s="1">
        <v>2.8E-3</v>
      </c>
      <c r="J54" s="1">
        <v>2.3769999999999998</v>
      </c>
      <c r="K54" s="1">
        <v>3.5701999999999998</v>
      </c>
      <c r="L54" s="1">
        <v>1.9887999999999999</v>
      </c>
      <c r="M54" s="1">
        <v>-55.2</v>
      </c>
      <c r="N54" s="1">
        <v>1</v>
      </c>
      <c r="O54" s="1">
        <v>2.4281000000000001</v>
      </c>
      <c r="P54" s="1">
        <v>0.89380000000000004</v>
      </c>
      <c r="Q54" s="1">
        <v>9.3325999999999993</v>
      </c>
      <c r="R54" s="1">
        <v>10.4274</v>
      </c>
      <c r="S54" s="1">
        <v>2.1299999999999999E-2</v>
      </c>
      <c r="T54" s="1">
        <v>1.2312000000000001</v>
      </c>
      <c r="U54" s="1">
        <v>2.5436000000000001</v>
      </c>
      <c r="V54" s="1">
        <v>1.8188</v>
      </c>
      <c r="W54" s="1">
        <v>100.8</v>
      </c>
      <c r="X54" s="1">
        <v>1</v>
      </c>
      <c r="Y54" s="1">
        <v>1.5051000000000001</v>
      </c>
      <c r="AA54" s="1">
        <v>13.1966</v>
      </c>
      <c r="AB54" s="1">
        <v>7.6582999999999997</v>
      </c>
      <c r="AC54" s="1">
        <v>2.0799999999999999E-2</v>
      </c>
      <c r="AD54" s="1">
        <v>3.3845000000000001</v>
      </c>
      <c r="AE54" s="1">
        <v>4.7529000000000003</v>
      </c>
      <c r="AF54" s="1">
        <v>2.1640999999999999</v>
      </c>
    </row>
    <row r="55" spans="1:32" x14ac:dyDescent="0.2">
      <c r="A55" s="1">
        <v>37</v>
      </c>
      <c r="B55" s="1">
        <v>1</v>
      </c>
      <c r="C55" s="1">
        <v>25.1</v>
      </c>
      <c r="D55" s="1">
        <v>1</v>
      </c>
      <c r="E55" s="1">
        <v>1.9218999999999999</v>
      </c>
      <c r="F55" s="1">
        <v>0.77090000000000003</v>
      </c>
      <c r="G55" s="1">
        <v>11.9086</v>
      </c>
      <c r="H55" s="1">
        <v>9.2037999999999993</v>
      </c>
      <c r="I55" s="1">
        <v>2.5000000000000001E-3</v>
      </c>
      <c r="J55" s="1">
        <v>2.3239999999999998</v>
      </c>
      <c r="K55" s="1">
        <v>3.5865999999999998</v>
      </c>
      <c r="L55" s="1">
        <v>2.2422</v>
      </c>
      <c r="M55" s="1">
        <v>-55.3</v>
      </c>
      <c r="N55" s="1">
        <v>1</v>
      </c>
      <c r="O55" s="1">
        <v>2.3340999999999998</v>
      </c>
      <c r="P55" s="1">
        <v>0.89300000000000002</v>
      </c>
      <c r="Q55" s="1">
        <v>9.3325999999999993</v>
      </c>
      <c r="R55" s="1">
        <v>9.5901999999999994</v>
      </c>
      <c r="S55" s="1">
        <v>2.2700000000000001E-2</v>
      </c>
      <c r="T55" s="1">
        <v>1.4174</v>
      </c>
      <c r="U55" s="1">
        <v>2.5247999999999999</v>
      </c>
      <c r="V55" s="1">
        <v>2.0630999999999999</v>
      </c>
      <c r="W55" s="1">
        <v>100.4</v>
      </c>
      <c r="X55" s="1">
        <v>1</v>
      </c>
      <c r="Y55" s="1">
        <v>1.4136</v>
      </c>
      <c r="AA55" s="1">
        <v>11.071400000000001</v>
      </c>
      <c r="AB55" s="1">
        <v>9.6546000000000003</v>
      </c>
      <c r="AC55" s="1">
        <v>2.2100000000000002E-2</v>
      </c>
      <c r="AD55" s="1">
        <v>3.4546999999999999</v>
      </c>
      <c r="AE55" s="1">
        <v>4.8026999999999997</v>
      </c>
      <c r="AF55" s="1">
        <v>2.4333</v>
      </c>
    </row>
    <row r="56" spans="1:32" x14ac:dyDescent="0.2">
      <c r="A56" s="1">
        <v>38</v>
      </c>
      <c r="B56" s="1">
        <v>1</v>
      </c>
      <c r="C56" s="1">
        <v>25.1</v>
      </c>
      <c r="D56" s="1">
        <v>1</v>
      </c>
      <c r="E56" s="1">
        <v>2.1600999999999999</v>
      </c>
      <c r="F56" s="1">
        <v>0.78490000000000004</v>
      </c>
      <c r="G56" s="1">
        <v>0.3145</v>
      </c>
      <c r="H56" s="1">
        <v>-0.63719999999999999</v>
      </c>
      <c r="I56" s="1">
        <v>1.4E-3</v>
      </c>
      <c r="J56" s="1">
        <v>2.9596</v>
      </c>
      <c r="K56" s="1">
        <v>3.5640000000000001</v>
      </c>
      <c r="L56" s="1">
        <v>1.7418</v>
      </c>
      <c r="M56" s="1">
        <v>-55.2</v>
      </c>
      <c r="N56" s="1">
        <v>1</v>
      </c>
      <c r="O56" s="1">
        <v>2.3010999999999999</v>
      </c>
      <c r="P56" s="1">
        <v>0.90710000000000002</v>
      </c>
      <c r="Q56" s="1">
        <v>0.625</v>
      </c>
      <c r="R56" s="1">
        <v>-1.2337</v>
      </c>
      <c r="S56" s="1">
        <v>1.18E-2</v>
      </c>
      <c r="T56" s="1">
        <v>0.89839999999999998</v>
      </c>
      <c r="U56" s="1">
        <v>2.4961000000000002</v>
      </c>
      <c r="V56" s="1">
        <v>1.5741000000000001</v>
      </c>
      <c r="W56" s="1">
        <v>101.1</v>
      </c>
      <c r="X56" s="1">
        <v>1</v>
      </c>
      <c r="Y56" s="1">
        <v>1.5689</v>
      </c>
      <c r="AA56" s="1">
        <v>0.56210000000000004</v>
      </c>
      <c r="AB56" s="1">
        <v>-0.69750000000000001</v>
      </c>
      <c r="AC56" s="1">
        <v>0.33040000000000003</v>
      </c>
      <c r="AD56" s="1">
        <v>3.0937000000000001</v>
      </c>
      <c r="AE56" s="1">
        <v>4.8231000000000002</v>
      </c>
      <c r="AF56" s="1">
        <v>1.9180999999999999</v>
      </c>
    </row>
    <row r="57" spans="1:32" x14ac:dyDescent="0.2">
      <c r="A57" s="1">
        <v>39</v>
      </c>
      <c r="B57" s="1">
        <v>1</v>
      </c>
      <c r="C57" s="1">
        <v>24.9</v>
      </c>
      <c r="D57" s="1">
        <v>1</v>
      </c>
      <c r="E57" s="1">
        <v>1.9097</v>
      </c>
      <c r="F57" s="1">
        <v>0.77710000000000001</v>
      </c>
      <c r="G57" s="1">
        <v>9.9765999999999995</v>
      </c>
      <c r="H57" s="1">
        <v>8.3666</v>
      </c>
      <c r="I57" s="1">
        <v>2E-3</v>
      </c>
      <c r="J57" s="1">
        <v>2.1892</v>
      </c>
      <c r="K57" s="1">
        <v>3.6996000000000002</v>
      </c>
      <c r="L57" s="1">
        <v>2.0085999999999999</v>
      </c>
      <c r="M57" s="1">
        <v>-54.9</v>
      </c>
      <c r="N57" s="1">
        <v>1</v>
      </c>
      <c r="O57" s="1">
        <v>2.3094999999999999</v>
      </c>
      <c r="P57" s="1">
        <v>0.89549999999999996</v>
      </c>
      <c r="Q57" s="1">
        <v>10.2342</v>
      </c>
      <c r="R57" s="1">
        <v>7.9158999999999997</v>
      </c>
      <c r="S57" s="1">
        <v>2.2700000000000001E-2</v>
      </c>
      <c r="T57" s="1">
        <v>1.2573000000000001</v>
      </c>
      <c r="U57" s="1">
        <v>2.6246999999999998</v>
      </c>
      <c r="V57" s="1">
        <v>1.8353999999999999</v>
      </c>
      <c r="W57" s="1">
        <v>100.5</v>
      </c>
      <c r="X57" s="1">
        <v>1</v>
      </c>
      <c r="Y57" s="1">
        <v>1.4261999999999999</v>
      </c>
      <c r="AA57" s="1">
        <v>11.200200000000001</v>
      </c>
      <c r="AB57" s="1">
        <v>9.4613999999999994</v>
      </c>
      <c r="AC57" s="1">
        <v>2.2200000000000001E-2</v>
      </c>
      <c r="AD57" s="1">
        <v>3.3891</v>
      </c>
      <c r="AE57" s="1">
        <v>4.8821000000000003</v>
      </c>
      <c r="AF57" s="1">
        <v>2.1928000000000001</v>
      </c>
    </row>
    <row r="58" spans="1:32" x14ac:dyDescent="0.2">
      <c r="A58" s="1">
        <v>40</v>
      </c>
      <c r="B58" s="1">
        <v>1</v>
      </c>
      <c r="C58" s="1">
        <v>25.1</v>
      </c>
      <c r="D58" s="1">
        <v>1</v>
      </c>
      <c r="E58" s="1">
        <v>1.974</v>
      </c>
      <c r="F58" s="1">
        <v>0.78290000000000004</v>
      </c>
      <c r="G58" s="1">
        <v>11.3934</v>
      </c>
      <c r="H58" s="1">
        <v>9.8477999999999994</v>
      </c>
      <c r="I58" s="1">
        <v>2.8999999999999998E-3</v>
      </c>
      <c r="J58" s="1">
        <v>2.2097000000000002</v>
      </c>
      <c r="K58" s="1">
        <v>4.0265000000000004</v>
      </c>
      <c r="L58" s="1">
        <v>1.776</v>
      </c>
      <c r="M58" s="1">
        <v>-55.1</v>
      </c>
      <c r="N58" s="1">
        <v>1</v>
      </c>
      <c r="O58" s="1">
        <v>2.3794</v>
      </c>
      <c r="P58" s="1">
        <v>0.89880000000000004</v>
      </c>
      <c r="Q58" s="1">
        <v>10.041</v>
      </c>
      <c r="R58" s="1">
        <v>9.1394000000000002</v>
      </c>
      <c r="S58" s="1">
        <v>2.3199999999999998E-2</v>
      </c>
      <c r="T58" s="1">
        <v>1.2435</v>
      </c>
      <c r="U58" s="1">
        <v>2.8955000000000002</v>
      </c>
      <c r="V58" s="1">
        <v>1.6141000000000001</v>
      </c>
      <c r="W58" s="1">
        <v>99.9</v>
      </c>
      <c r="X58" s="1">
        <v>1</v>
      </c>
      <c r="Y58" s="1">
        <v>1.4951000000000001</v>
      </c>
      <c r="AA58" s="1">
        <v>10.813800000000001</v>
      </c>
      <c r="AB58" s="1">
        <v>9.1394000000000002</v>
      </c>
      <c r="AC58" s="1">
        <v>2.3699999999999999E-2</v>
      </c>
      <c r="AD58" s="1">
        <v>3.3639000000000001</v>
      </c>
      <c r="AE58" s="1">
        <v>5.1936</v>
      </c>
      <c r="AF58" s="1">
        <v>1.9412</v>
      </c>
    </row>
    <row r="59" spans="1:32" x14ac:dyDescent="0.2">
      <c r="A59" s="1">
        <v>41</v>
      </c>
      <c r="B59" s="1">
        <v>1</v>
      </c>
      <c r="C59" s="1">
        <v>25.1</v>
      </c>
      <c r="D59" s="1">
        <v>1</v>
      </c>
      <c r="E59" s="1">
        <v>2.0129000000000001</v>
      </c>
      <c r="F59" s="1">
        <v>0.77239999999999998</v>
      </c>
      <c r="G59" s="1">
        <v>10.2342</v>
      </c>
      <c r="H59" s="1">
        <v>10.8782</v>
      </c>
      <c r="I59" s="1">
        <v>2.8E-3</v>
      </c>
      <c r="J59" s="1">
        <v>2.3018999999999998</v>
      </c>
      <c r="K59" s="1">
        <v>3.6537000000000002</v>
      </c>
      <c r="L59" s="1">
        <v>2.2637999999999998</v>
      </c>
      <c r="M59" s="1">
        <v>-55.3</v>
      </c>
      <c r="N59" s="1">
        <v>1</v>
      </c>
      <c r="O59" s="1">
        <v>2.4531000000000001</v>
      </c>
      <c r="P59" s="1">
        <v>0.89239999999999997</v>
      </c>
      <c r="Q59" s="1">
        <v>10.1698</v>
      </c>
      <c r="R59" s="1">
        <v>10.4274</v>
      </c>
      <c r="S59" s="1">
        <v>2.2499999999999999E-2</v>
      </c>
      <c r="T59" s="1">
        <v>1.3144</v>
      </c>
      <c r="U59" s="1">
        <v>2.5198999999999998</v>
      </c>
      <c r="V59" s="1">
        <v>2.0842999999999998</v>
      </c>
      <c r="W59" s="1">
        <v>100.5</v>
      </c>
      <c r="X59" s="1">
        <v>1</v>
      </c>
      <c r="Y59" s="1">
        <v>1.4829000000000001</v>
      </c>
      <c r="AA59" s="1">
        <v>8.2378</v>
      </c>
      <c r="AB59" s="1">
        <v>8.8173999999999992</v>
      </c>
      <c r="AC59" s="1">
        <v>2.2200000000000001E-2</v>
      </c>
      <c r="AD59" s="1">
        <v>3.5261999999999998</v>
      </c>
      <c r="AE59" s="1">
        <v>4.8444000000000003</v>
      </c>
      <c r="AF59" s="1">
        <v>2.4527000000000001</v>
      </c>
    </row>
    <row r="60" spans="1:32" x14ac:dyDescent="0.2">
      <c r="A60" s="1">
        <v>42</v>
      </c>
      <c r="B60" s="1">
        <v>1</v>
      </c>
      <c r="C60" s="1">
        <v>25</v>
      </c>
      <c r="D60" s="1">
        <v>1</v>
      </c>
      <c r="E60" s="1">
        <v>2.1598000000000002</v>
      </c>
      <c r="F60" s="1">
        <v>0.78290000000000004</v>
      </c>
      <c r="G60" s="1">
        <v>0.3947</v>
      </c>
      <c r="H60" s="1">
        <v>-0.44900000000000001</v>
      </c>
      <c r="I60" s="1">
        <v>1.6000000000000001E-3</v>
      </c>
      <c r="J60" s="1">
        <v>3.1131000000000002</v>
      </c>
      <c r="K60" s="1">
        <v>3.5813999999999999</v>
      </c>
      <c r="L60" s="1">
        <v>1.8411</v>
      </c>
      <c r="M60" s="1">
        <v>-55.1</v>
      </c>
      <c r="N60" s="1">
        <v>1</v>
      </c>
      <c r="O60" s="1">
        <v>2.3006000000000002</v>
      </c>
      <c r="P60" s="1">
        <v>0.90490000000000004</v>
      </c>
      <c r="Q60" s="1">
        <v>0.54690000000000005</v>
      </c>
      <c r="R60" s="1">
        <v>-0.53779999999999994</v>
      </c>
      <c r="S60" s="1">
        <v>1.32E-2</v>
      </c>
      <c r="T60" s="1">
        <v>0.96550000000000002</v>
      </c>
      <c r="U60" s="1">
        <v>2.4336000000000002</v>
      </c>
      <c r="V60" s="1">
        <v>1.6701999999999999</v>
      </c>
      <c r="W60" s="1">
        <v>100.7</v>
      </c>
      <c r="X60" s="1">
        <v>1</v>
      </c>
      <c r="Y60" s="1">
        <v>1.5698000000000001</v>
      </c>
      <c r="AA60" s="1">
        <v>0.33589999999999998</v>
      </c>
      <c r="AB60" s="1">
        <v>-0.53549999999999998</v>
      </c>
      <c r="AC60" s="1">
        <v>0.28239999999999998</v>
      </c>
      <c r="AD60" s="1">
        <v>3.2181000000000002</v>
      </c>
      <c r="AE60" s="1">
        <v>4.7819000000000003</v>
      </c>
      <c r="AF60" s="1">
        <v>2.0169999999999999</v>
      </c>
    </row>
    <row r="61" spans="1:32" x14ac:dyDescent="0.2">
      <c r="A61" s="1">
        <v>43</v>
      </c>
      <c r="B61" s="1">
        <v>1</v>
      </c>
      <c r="C61" s="1">
        <v>25.1</v>
      </c>
      <c r="D61" s="1">
        <v>1</v>
      </c>
      <c r="E61" s="1">
        <v>1.9276</v>
      </c>
      <c r="F61" s="1">
        <v>0.77549999999999997</v>
      </c>
      <c r="G61" s="1">
        <v>11.071400000000001</v>
      </c>
      <c r="H61" s="1">
        <v>8.6242000000000001</v>
      </c>
      <c r="I61" s="1">
        <v>2.5999999999999999E-3</v>
      </c>
      <c r="J61" s="1">
        <v>2.3134999999999999</v>
      </c>
      <c r="K61" s="1">
        <v>3.6936</v>
      </c>
      <c r="L61" s="1">
        <v>2.1320999999999999</v>
      </c>
      <c r="M61" s="1">
        <v>-55.2</v>
      </c>
      <c r="N61" s="1">
        <v>1</v>
      </c>
      <c r="O61" s="1">
        <v>2.3283999999999998</v>
      </c>
      <c r="P61" s="1">
        <v>0.89270000000000005</v>
      </c>
      <c r="Q61" s="1">
        <v>11.715400000000001</v>
      </c>
      <c r="R61" s="1">
        <v>10.2986</v>
      </c>
      <c r="S61" s="1">
        <v>2.3099999999999999E-2</v>
      </c>
      <c r="T61" s="1">
        <v>1.3218000000000001</v>
      </c>
      <c r="U61" s="1">
        <v>2.6610999999999998</v>
      </c>
      <c r="V61" s="1">
        <v>1.9591000000000001</v>
      </c>
      <c r="W61" s="1">
        <v>100.6</v>
      </c>
      <c r="X61" s="1">
        <v>1</v>
      </c>
      <c r="Y61" s="1">
        <v>1.4548000000000001</v>
      </c>
      <c r="AA61" s="1">
        <v>10.6206</v>
      </c>
      <c r="AB61" s="1">
        <v>9.5901999999999994</v>
      </c>
      <c r="AC61" s="1">
        <v>2.3099999999999999E-2</v>
      </c>
      <c r="AD61" s="1">
        <v>3.3544</v>
      </c>
      <c r="AE61" s="1">
        <v>4.8655999999999997</v>
      </c>
      <c r="AF61" s="1">
        <v>2.3088000000000002</v>
      </c>
    </row>
    <row r="62" spans="1:32" x14ac:dyDescent="0.2">
      <c r="A62" s="1">
        <v>44</v>
      </c>
      <c r="B62" s="1">
        <v>1</v>
      </c>
      <c r="C62" s="1">
        <v>25.1</v>
      </c>
      <c r="D62" s="1">
        <v>1</v>
      </c>
      <c r="E62" s="1">
        <v>1.9654</v>
      </c>
      <c r="F62" s="1">
        <v>0.77080000000000004</v>
      </c>
      <c r="G62" s="1">
        <v>11.2646</v>
      </c>
      <c r="H62" s="1">
        <v>9.4613999999999994</v>
      </c>
      <c r="I62" s="1">
        <v>2.3999999999999998E-3</v>
      </c>
      <c r="J62" s="1">
        <v>2.2488000000000001</v>
      </c>
      <c r="K62" s="1">
        <v>3.5933000000000002</v>
      </c>
      <c r="L62" s="1">
        <v>2.3031000000000001</v>
      </c>
      <c r="M62" s="1">
        <v>-55.1</v>
      </c>
      <c r="N62" s="1">
        <v>1</v>
      </c>
      <c r="O62" s="1">
        <v>2.4068999999999998</v>
      </c>
      <c r="P62" s="1">
        <v>0.89280000000000004</v>
      </c>
      <c r="Q62" s="1">
        <v>11.7798</v>
      </c>
      <c r="R62" s="1">
        <v>10.5562</v>
      </c>
      <c r="S62" s="1">
        <v>2.23E-2</v>
      </c>
      <c r="T62" s="1">
        <v>1.2119</v>
      </c>
      <c r="U62" s="1">
        <v>2.4550000000000001</v>
      </c>
      <c r="V62" s="1">
        <v>2.1215999999999999</v>
      </c>
      <c r="W62" s="1">
        <v>100.6</v>
      </c>
      <c r="X62" s="1">
        <v>1</v>
      </c>
      <c r="Y62" s="1">
        <v>1.4316</v>
      </c>
      <c r="AA62" s="1">
        <v>10.105399999999999</v>
      </c>
      <c r="AB62" s="1">
        <v>9.9122000000000003</v>
      </c>
      <c r="AC62" s="1">
        <v>2.24E-2</v>
      </c>
      <c r="AD62" s="1">
        <v>3.4441999999999999</v>
      </c>
      <c r="AE62" s="1">
        <v>4.8385999999999996</v>
      </c>
      <c r="AF62" s="1">
        <v>2.4986999999999999</v>
      </c>
    </row>
    <row r="63" spans="1:32" x14ac:dyDescent="0.2">
      <c r="A63" s="1">
        <v>45</v>
      </c>
      <c r="B63" s="1">
        <v>1</v>
      </c>
      <c r="C63" s="1">
        <v>25.2</v>
      </c>
      <c r="D63" s="1">
        <v>1</v>
      </c>
      <c r="E63" s="1">
        <v>2.0305</v>
      </c>
      <c r="F63" s="1">
        <v>0.77629999999999999</v>
      </c>
      <c r="G63" s="1">
        <v>11.3934</v>
      </c>
      <c r="H63" s="1">
        <v>8.4309999999999992</v>
      </c>
      <c r="I63" s="1">
        <v>3.3999999999999998E-3</v>
      </c>
      <c r="J63" s="1">
        <v>2.1602999999999999</v>
      </c>
      <c r="K63" s="1">
        <v>3.5497000000000001</v>
      </c>
      <c r="L63" s="1">
        <v>2.0165999999999999</v>
      </c>
      <c r="M63" s="1">
        <v>-55.1</v>
      </c>
      <c r="N63" s="1">
        <v>1</v>
      </c>
      <c r="O63" s="1">
        <v>2.4777</v>
      </c>
      <c r="P63" s="1">
        <v>0.89239999999999997</v>
      </c>
      <c r="Q63" s="1">
        <v>10.041</v>
      </c>
      <c r="R63" s="1">
        <v>10.4274</v>
      </c>
      <c r="S63" s="1">
        <v>2.2800000000000001E-2</v>
      </c>
      <c r="T63" s="1">
        <v>1.1535</v>
      </c>
      <c r="U63" s="1">
        <v>2.4820000000000002</v>
      </c>
      <c r="V63" s="1">
        <v>1.8486</v>
      </c>
      <c r="W63" s="1">
        <v>100.4</v>
      </c>
      <c r="X63" s="1">
        <v>1</v>
      </c>
      <c r="Y63" s="1">
        <v>1.5096000000000001</v>
      </c>
      <c r="AA63" s="1">
        <v>9.0106000000000002</v>
      </c>
      <c r="AB63" s="1">
        <v>10.4918</v>
      </c>
      <c r="AC63" s="1">
        <v>2.3300000000000001E-2</v>
      </c>
      <c r="AD63" s="1">
        <v>3.3784999999999998</v>
      </c>
      <c r="AE63" s="1">
        <v>4.7439</v>
      </c>
      <c r="AF63" s="1">
        <v>2.1890000000000001</v>
      </c>
    </row>
    <row r="64" spans="1:32" x14ac:dyDescent="0.2">
      <c r="A64" s="1">
        <v>46</v>
      </c>
      <c r="B64" s="1">
        <v>1</v>
      </c>
      <c r="C64" s="1">
        <v>25.1</v>
      </c>
      <c r="D64" s="1">
        <v>1</v>
      </c>
      <c r="E64" s="1">
        <v>2.0668000000000002</v>
      </c>
      <c r="F64" s="1">
        <v>0.78029999999999999</v>
      </c>
      <c r="G64" s="1">
        <v>11.2646</v>
      </c>
      <c r="H64" s="1">
        <v>9.5901999999999994</v>
      </c>
      <c r="I64" s="1">
        <v>2.3999999999999998E-3</v>
      </c>
      <c r="J64" s="1">
        <v>2.1787999999999998</v>
      </c>
      <c r="K64" s="1">
        <v>3.6524999999999999</v>
      </c>
      <c r="L64" s="1">
        <v>1.8993</v>
      </c>
      <c r="M64" s="1">
        <v>-55.1</v>
      </c>
      <c r="N64" s="1">
        <v>1</v>
      </c>
      <c r="O64" s="1">
        <v>2.4942000000000002</v>
      </c>
      <c r="P64" s="1">
        <v>0.8952</v>
      </c>
      <c r="Q64" s="1">
        <v>9.2037999999999993</v>
      </c>
      <c r="R64" s="1">
        <v>9.3325999999999993</v>
      </c>
      <c r="S64" s="1">
        <v>2.2800000000000001E-2</v>
      </c>
      <c r="T64" s="1">
        <v>1.2230000000000001</v>
      </c>
      <c r="U64" s="1">
        <v>2.5916000000000001</v>
      </c>
      <c r="V64" s="1">
        <v>1.7357</v>
      </c>
      <c r="W64" s="1">
        <v>100.5</v>
      </c>
      <c r="X64" s="1">
        <v>1</v>
      </c>
      <c r="Y64" s="1">
        <v>1.5583</v>
      </c>
      <c r="AA64" s="1">
        <v>11.586600000000001</v>
      </c>
      <c r="AB64" s="1">
        <v>8.8173999999999992</v>
      </c>
      <c r="AC64" s="1">
        <v>2.23E-2</v>
      </c>
      <c r="AD64" s="1">
        <v>3.3121</v>
      </c>
      <c r="AE64" s="1">
        <v>4.7874999999999996</v>
      </c>
      <c r="AF64" s="1">
        <v>2.0697000000000001</v>
      </c>
    </row>
    <row r="65" spans="1:32" x14ac:dyDescent="0.2">
      <c r="A65" s="1">
        <v>47</v>
      </c>
      <c r="B65" s="1">
        <v>1</v>
      </c>
      <c r="C65" s="1">
        <v>25.1</v>
      </c>
      <c r="D65" s="1">
        <v>1</v>
      </c>
      <c r="E65" s="1">
        <v>2.0156999999999998</v>
      </c>
      <c r="F65" s="1">
        <v>0.77159999999999995</v>
      </c>
      <c r="G65" s="1">
        <v>10.7494</v>
      </c>
      <c r="H65" s="1">
        <v>8.6885999999999992</v>
      </c>
      <c r="I65" s="1">
        <v>2.3999999999999998E-3</v>
      </c>
      <c r="J65" s="1">
        <v>2.1829999999999998</v>
      </c>
      <c r="K65" s="1">
        <v>3.5106999999999999</v>
      </c>
      <c r="L65" s="1">
        <v>2.2130000000000001</v>
      </c>
      <c r="M65" s="1">
        <v>-55.2</v>
      </c>
      <c r="N65" s="1">
        <v>1</v>
      </c>
      <c r="O65" s="1">
        <v>2.4647000000000001</v>
      </c>
      <c r="P65" s="1">
        <v>0.89339999999999997</v>
      </c>
      <c r="Q65" s="1">
        <v>11.329000000000001</v>
      </c>
      <c r="R65" s="1">
        <v>10.2342</v>
      </c>
      <c r="S65" s="1">
        <v>2.2599999999999999E-2</v>
      </c>
      <c r="T65" s="1">
        <v>1.2098</v>
      </c>
      <c r="U65" s="1">
        <v>2.4558</v>
      </c>
      <c r="V65" s="1">
        <v>2.0337000000000001</v>
      </c>
      <c r="W65" s="1">
        <v>100.7</v>
      </c>
      <c r="X65" s="1">
        <v>1</v>
      </c>
      <c r="Y65" s="1">
        <v>1.4783999999999999</v>
      </c>
      <c r="AA65" s="1">
        <v>10.2342</v>
      </c>
      <c r="AB65" s="1">
        <v>8.7530000000000001</v>
      </c>
      <c r="AC65" s="1">
        <v>2.1700000000000001E-2</v>
      </c>
      <c r="AD65" s="1">
        <v>3.3740000000000001</v>
      </c>
      <c r="AE65" s="1">
        <v>4.8094999999999999</v>
      </c>
      <c r="AF65" s="1">
        <v>2.4032</v>
      </c>
    </row>
    <row r="66" spans="1:32" x14ac:dyDescent="0.2">
      <c r="A66" s="1">
        <v>48</v>
      </c>
      <c r="B66" s="1">
        <v>1</v>
      </c>
      <c r="C66" s="1">
        <v>25</v>
      </c>
      <c r="D66" s="1">
        <v>1</v>
      </c>
      <c r="E66" s="1">
        <v>1.9239999999999999</v>
      </c>
      <c r="F66" s="1">
        <v>0.77200000000000002</v>
      </c>
      <c r="G66" s="1">
        <v>10.8782</v>
      </c>
      <c r="H66" s="1">
        <v>8.8173999999999992</v>
      </c>
      <c r="I66" s="1">
        <v>2.7000000000000001E-3</v>
      </c>
      <c r="J66" s="1">
        <v>2.3944999999999999</v>
      </c>
      <c r="K66" s="1">
        <v>3.6179000000000001</v>
      </c>
      <c r="L66" s="1">
        <v>2.3208000000000002</v>
      </c>
      <c r="M66" s="1">
        <v>-55.2</v>
      </c>
      <c r="N66" s="1">
        <v>1</v>
      </c>
      <c r="O66" s="1">
        <v>2.3555999999999999</v>
      </c>
      <c r="P66" s="1">
        <v>0.89300000000000002</v>
      </c>
      <c r="Q66" s="1">
        <v>9.8477999999999994</v>
      </c>
      <c r="R66" s="1">
        <v>8.8818000000000001</v>
      </c>
      <c r="S66" s="1">
        <v>2.2800000000000001E-2</v>
      </c>
      <c r="T66" s="1">
        <v>1.5042</v>
      </c>
      <c r="U66" s="1">
        <v>2.4630000000000001</v>
      </c>
      <c r="V66" s="1">
        <v>2.1421999999999999</v>
      </c>
      <c r="W66" s="1">
        <v>100.3</v>
      </c>
      <c r="X66" s="1">
        <v>1</v>
      </c>
      <c r="Y66" s="1">
        <v>1.3985000000000001</v>
      </c>
      <c r="AA66" s="1">
        <v>10.1698</v>
      </c>
      <c r="AB66" s="1">
        <v>11.715400000000001</v>
      </c>
      <c r="AC66" s="1">
        <v>2.2599999999999999E-2</v>
      </c>
      <c r="AD66" s="1">
        <v>3.4702999999999999</v>
      </c>
      <c r="AE66" s="1">
        <v>4.8583999999999996</v>
      </c>
      <c r="AF66" s="1">
        <v>2.5135999999999998</v>
      </c>
    </row>
    <row r="67" spans="1:32" x14ac:dyDescent="0.2">
      <c r="A67" s="1">
        <v>49</v>
      </c>
      <c r="B67" s="1">
        <v>1</v>
      </c>
      <c r="C67" s="1">
        <v>25.1</v>
      </c>
      <c r="D67" s="1">
        <v>1</v>
      </c>
      <c r="E67" s="1">
        <v>2.0427</v>
      </c>
      <c r="F67" s="1">
        <v>0.77769999999999995</v>
      </c>
      <c r="G67" s="1">
        <v>10.2342</v>
      </c>
      <c r="H67" s="1">
        <v>8.6885999999999992</v>
      </c>
      <c r="I67" s="1">
        <v>2.3999999999999998E-3</v>
      </c>
      <c r="J67" s="1">
        <v>2.1501000000000001</v>
      </c>
      <c r="K67" s="1">
        <v>3.6404999999999998</v>
      </c>
      <c r="L67" s="1">
        <v>2.0036</v>
      </c>
      <c r="M67" s="1">
        <v>-55</v>
      </c>
      <c r="N67" s="1">
        <v>1</v>
      </c>
      <c r="O67" s="1">
        <v>2.4746000000000001</v>
      </c>
      <c r="P67" s="1">
        <v>0.89759999999999995</v>
      </c>
      <c r="Q67" s="1">
        <v>11.457800000000001</v>
      </c>
      <c r="R67" s="1">
        <v>8.8818000000000001</v>
      </c>
      <c r="S67" s="1">
        <v>2.2499999999999999E-2</v>
      </c>
      <c r="T67" s="1">
        <v>1.3554999999999999</v>
      </c>
      <c r="U67" s="1">
        <v>2.5588000000000002</v>
      </c>
      <c r="V67" s="1">
        <v>1.8305</v>
      </c>
      <c r="W67" s="1">
        <v>100.3</v>
      </c>
      <c r="X67" s="1">
        <v>1</v>
      </c>
      <c r="Y67" s="1">
        <v>1.5096000000000001</v>
      </c>
      <c r="AA67" s="1">
        <v>10.041</v>
      </c>
      <c r="AB67" s="1">
        <v>8.2378</v>
      </c>
      <c r="AC67" s="1">
        <v>2.1899999999999999E-2</v>
      </c>
      <c r="AD67" s="1">
        <v>3.3395999999999999</v>
      </c>
      <c r="AE67" s="1">
        <v>4.8977000000000004</v>
      </c>
      <c r="AF67" s="1">
        <v>2.1829999999999998</v>
      </c>
    </row>
    <row r="68" spans="1:32" x14ac:dyDescent="0.2">
      <c r="A68" s="1">
        <v>50</v>
      </c>
      <c r="B68" s="1">
        <v>1</v>
      </c>
      <c r="C68" s="1">
        <v>25.1</v>
      </c>
      <c r="D68" s="1">
        <v>1</v>
      </c>
      <c r="E68" s="1">
        <v>2.0474000000000001</v>
      </c>
      <c r="F68" s="1">
        <v>0.77859999999999996</v>
      </c>
      <c r="G68" s="1">
        <v>11.3934</v>
      </c>
      <c r="H68" s="1">
        <v>9.0106000000000002</v>
      </c>
      <c r="I68" s="1">
        <v>2.8E-3</v>
      </c>
      <c r="J68" s="1">
        <v>2.1739999999999999</v>
      </c>
      <c r="K68" s="1">
        <v>3.5558000000000001</v>
      </c>
      <c r="L68" s="1">
        <v>1.8096000000000001</v>
      </c>
      <c r="M68" s="1">
        <v>-55.2</v>
      </c>
      <c r="N68" s="1">
        <v>1</v>
      </c>
      <c r="O68" s="1">
        <v>2.4824000000000002</v>
      </c>
      <c r="P68" s="1">
        <v>0.89510000000000001</v>
      </c>
      <c r="Q68" s="1">
        <v>9.1394000000000002</v>
      </c>
      <c r="R68" s="1">
        <v>8.2378</v>
      </c>
      <c r="S68" s="1">
        <v>2.3199999999999998E-2</v>
      </c>
      <c r="T68" s="1">
        <v>1.2286999999999999</v>
      </c>
      <c r="U68" s="1">
        <v>2.4984999999999999</v>
      </c>
      <c r="V68" s="1">
        <v>1.6483000000000001</v>
      </c>
      <c r="W68" s="1">
        <v>100.6</v>
      </c>
      <c r="X68" s="1">
        <v>1</v>
      </c>
      <c r="Y68" s="1">
        <v>1.5208999999999999</v>
      </c>
      <c r="AA68" s="1">
        <v>9.9122000000000003</v>
      </c>
      <c r="AB68" s="1">
        <v>11.200200000000001</v>
      </c>
      <c r="AC68" s="1">
        <v>2.18E-2</v>
      </c>
      <c r="AD68" s="1">
        <v>3.2900999999999998</v>
      </c>
      <c r="AE68" s="1">
        <v>4.7405999999999997</v>
      </c>
      <c r="AF68" s="1">
        <v>1.9748000000000001</v>
      </c>
    </row>
    <row r="69" spans="1:32" x14ac:dyDescent="0.2">
      <c r="A69" s="1">
        <v>51</v>
      </c>
      <c r="B69" s="1">
        <v>1</v>
      </c>
      <c r="C69" s="1">
        <v>25.1</v>
      </c>
      <c r="D69" s="1">
        <v>1</v>
      </c>
      <c r="E69" s="1">
        <v>1.99</v>
      </c>
      <c r="F69" s="1">
        <v>0.77059999999999995</v>
      </c>
      <c r="G69" s="1">
        <v>10.813800000000001</v>
      </c>
      <c r="H69" s="1">
        <v>9.5901999999999994</v>
      </c>
      <c r="I69" s="1">
        <v>2.3E-3</v>
      </c>
      <c r="J69" s="1">
        <v>2.2437</v>
      </c>
      <c r="K69" s="1">
        <v>3.5743</v>
      </c>
      <c r="L69" s="1">
        <v>2.2957000000000001</v>
      </c>
      <c r="M69" s="1">
        <v>-55.2</v>
      </c>
      <c r="N69" s="1">
        <v>1</v>
      </c>
      <c r="O69" s="1">
        <v>2.4249999999999998</v>
      </c>
      <c r="P69" s="1">
        <v>0.89170000000000005</v>
      </c>
      <c r="Q69" s="1">
        <v>8.6242000000000001</v>
      </c>
      <c r="R69" s="1">
        <v>9.9122000000000003</v>
      </c>
      <c r="S69" s="1">
        <v>2.2100000000000002E-2</v>
      </c>
      <c r="T69" s="1">
        <v>1.2541</v>
      </c>
      <c r="U69" s="1">
        <v>2.4922</v>
      </c>
      <c r="V69" s="1">
        <v>2.1181000000000001</v>
      </c>
      <c r="W69" s="1">
        <v>100</v>
      </c>
      <c r="X69" s="1">
        <v>1</v>
      </c>
      <c r="Y69" s="1">
        <v>1.4625999999999999</v>
      </c>
      <c r="AA69" s="1">
        <v>10.5562</v>
      </c>
      <c r="AB69" s="1">
        <v>10.105399999999999</v>
      </c>
      <c r="AC69" s="1">
        <v>2.2800000000000001E-2</v>
      </c>
      <c r="AD69" s="1">
        <v>3.4506999999999999</v>
      </c>
      <c r="AE69" s="1">
        <v>4.8051000000000004</v>
      </c>
      <c r="AF69" s="1">
        <v>2.4883999999999999</v>
      </c>
    </row>
    <row r="70" spans="1:32" x14ac:dyDescent="0.2">
      <c r="A70" s="1">
        <v>52</v>
      </c>
      <c r="B70" s="1">
        <v>1</v>
      </c>
      <c r="C70" s="1">
        <v>25.1</v>
      </c>
      <c r="D70" s="1">
        <v>1</v>
      </c>
      <c r="E70" s="1">
        <v>2.0084</v>
      </c>
      <c r="F70" s="1">
        <v>0.78249999999999997</v>
      </c>
      <c r="G70" s="1">
        <v>9.7189999999999994</v>
      </c>
      <c r="H70" s="1">
        <v>9.3325999999999993</v>
      </c>
      <c r="I70" s="1">
        <v>2.2000000000000001E-3</v>
      </c>
      <c r="J70" s="1">
        <v>2.3481999999999998</v>
      </c>
      <c r="K70" s="1">
        <v>4.1604999999999999</v>
      </c>
      <c r="L70" s="1">
        <v>1.9891000000000001</v>
      </c>
      <c r="M70" s="1">
        <v>-55.3</v>
      </c>
      <c r="N70" s="1">
        <v>1</v>
      </c>
      <c r="O70" s="1">
        <v>2.4394999999999998</v>
      </c>
      <c r="P70" s="1">
        <v>0.90080000000000005</v>
      </c>
      <c r="Q70" s="1">
        <v>10.685</v>
      </c>
      <c r="R70" s="1">
        <v>10.6206</v>
      </c>
      <c r="S70" s="1">
        <v>2.3E-2</v>
      </c>
      <c r="T70" s="1">
        <v>1.391</v>
      </c>
      <c r="U70" s="1">
        <v>3.1223999999999998</v>
      </c>
      <c r="V70" s="1">
        <v>1.8182</v>
      </c>
      <c r="W70" s="1">
        <v>100.5</v>
      </c>
      <c r="X70" s="1">
        <v>1</v>
      </c>
      <c r="Y70" s="1">
        <v>1.4990000000000001</v>
      </c>
      <c r="AA70" s="1">
        <v>9.9765999999999995</v>
      </c>
      <c r="AB70" s="1">
        <v>9.2037999999999993</v>
      </c>
      <c r="AC70" s="1">
        <v>2.2499999999999999E-2</v>
      </c>
      <c r="AD70" s="1">
        <v>3.4430999999999998</v>
      </c>
      <c r="AE70" s="1">
        <v>5.3041999999999998</v>
      </c>
      <c r="AF70" s="1">
        <v>2.1671</v>
      </c>
    </row>
    <row r="71" spans="1:32" x14ac:dyDescent="0.2">
      <c r="A71" s="1">
        <v>53</v>
      </c>
      <c r="B71" s="1">
        <v>1</v>
      </c>
      <c r="C71" s="1">
        <v>25</v>
      </c>
      <c r="D71" s="1">
        <v>1</v>
      </c>
      <c r="E71" s="1">
        <v>1.9597</v>
      </c>
      <c r="F71" s="1">
        <v>0.77080000000000004</v>
      </c>
      <c r="G71" s="1">
        <v>9.0106000000000002</v>
      </c>
      <c r="H71" s="1">
        <v>9.2682000000000002</v>
      </c>
      <c r="I71" s="1">
        <v>2.3999999999999998E-3</v>
      </c>
      <c r="J71" s="1">
        <v>2.3252999999999999</v>
      </c>
      <c r="K71" s="1">
        <v>3.5924999999999998</v>
      </c>
      <c r="L71" s="1">
        <v>2.2181000000000002</v>
      </c>
      <c r="M71" s="1">
        <v>-55.1</v>
      </c>
      <c r="N71" s="1">
        <v>1</v>
      </c>
      <c r="O71" s="1">
        <v>2.3957999999999999</v>
      </c>
      <c r="P71" s="1">
        <v>0.89370000000000005</v>
      </c>
      <c r="Q71" s="1">
        <v>10.7494</v>
      </c>
      <c r="R71" s="1">
        <v>10.8782</v>
      </c>
      <c r="S71" s="1">
        <v>2.2200000000000001E-2</v>
      </c>
      <c r="T71" s="1">
        <v>1.3304</v>
      </c>
      <c r="U71" s="1">
        <v>2.4641999999999999</v>
      </c>
      <c r="V71" s="1">
        <v>2.0360999999999998</v>
      </c>
      <c r="W71" s="1">
        <v>100.3</v>
      </c>
      <c r="X71" s="1">
        <v>1</v>
      </c>
      <c r="Y71" s="1">
        <v>1.4278</v>
      </c>
      <c r="AA71" s="1">
        <v>11.5222</v>
      </c>
      <c r="AB71" s="1">
        <v>9.2682000000000002</v>
      </c>
      <c r="AC71" s="1">
        <v>2.23E-2</v>
      </c>
      <c r="AD71" s="1">
        <v>3.3683000000000001</v>
      </c>
      <c r="AE71" s="1">
        <v>4.7693000000000003</v>
      </c>
      <c r="AF71" s="1">
        <v>2.4104000000000001</v>
      </c>
    </row>
    <row r="72" spans="1:32" x14ac:dyDescent="0.2">
      <c r="A72" s="1">
        <v>54</v>
      </c>
      <c r="B72" s="1">
        <v>1</v>
      </c>
      <c r="C72" s="1">
        <v>25.1</v>
      </c>
      <c r="D72" s="1">
        <v>1</v>
      </c>
      <c r="E72" s="1">
        <v>1.9797</v>
      </c>
      <c r="F72" s="1">
        <v>0.77549999999999997</v>
      </c>
      <c r="G72" s="1">
        <v>11.329000000000001</v>
      </c>
      <c r="H72" s="1">
        <v>9.0749999999999993</v>
      </c>
      <c r="I72" s="1">
        <v>2.5000000000000001E-3</v>
      </c>
      <c r="J72" s="1">
        <v>2.2734000000000001</v>
      </c>
      <c r="K72" s="1">
        <v>3.5613000000000001</v>
      </c>
      <c r="L72" s="1">
        <v>2.1227999999999998</v>
      </c>
      <c r="M72" s="1">
        <v>-55.2</v>
      </c>
      <c r="N72" s="1">
        <v>1</v>
      </c>
      <c r="O72" s="1">
        <v>2.4003999999999999</v>
      </c>
      <c r="P72" s="1">
        <v>0.89549999999999996</v>
      </c>
      <c r="Q72" s="1">
        <v>11.3934</v>
      </c>
      <c r="R72" s="1">
        <v>9.4613999999999994</v>
      </c>
      <c r="S72" s="1">
        <v>2.3400000000000001E-2</v>
      </c>
      <c r="T72" s="1">
        <v>1.3701000000000001</v>
      </c>
      <c r="U72" s="1">
        <v>2.4737</v>
      </c>
      <c r="V72" s="1">
        <v>1.9466000000000001</v>
      </c>
      <c r="W72" s="1">
        <v>100.5</v>
      </c>
      <c r="X72" s="1">
        <v>1</v>
      </c>
      <c r="Y72" s="1">
        <v>1.4619</v>
      </c>
      <c r="AA72" s="1">
        <v>11.071400000000001</v>
      </c>
      <c r="AB72" s="1">
        <v>8.5597999999999992</v>
      </c>
      <c r="AC72" s="1">
        <v>2.3400000000000001E-2</v>
      </c>
      <c r="AD72" s="1">
        <v>3.3452999999999999</v>
      </c>
      <c r="AE72" s="1">
        <v>4.8293999999999997</v>
      </c>
      <c r="AF72" s="1">
        <v>2.3069999999999999</v>
      </c>
    </row>
    <row r="73" spans="1:32" x14ac:dyDescent="0.2">
      <c r="A73" s="1">
        <v>55</v>
      </c>
      <c r="B73" s="1">
        <v>1</v>
      </c>
      <c r="C73" s="1">
        <v>25</v>
      </c>
      <c r="D73" s="1">
        <v>1</v>
      </c>
      <c r="E73" s="1">
        <v>1.9437</v>
      </c>
      <c r="F73" s="1">
        <v>0.77259999999999995</v>
      </c>
      <c r="G73" s="1">
        <v>10.7494</v>
      </c>
      <c r="H73" s="1">
        <v>9.5258000000000003</v>
      </c>
      <c r="I73" s="1">
        <v>2.3999999999999998E-3</v>
      </c>
      <c r="J73" s="1">
        <v>2.1737000000000002</v>
      </c>
      <c r="K73" s="1">
        <v>3.5488</v>
      </c>
      <c r="L73" s="1">
        <v>2.0813000000000001</v>
      </c>
      <c r="M73" s="1">
        <v>-55.2</v>
      </c>
      <c r="N73" s="1">
        <v>1</v>
      </c>
      <c r="O73" s="1">
        <v>2.3866999999999998</v>
      </c>
      <c r="P73" s="1">
        <v>0.89470000000000005</v>
      </c>
      <c r="Q73" s="1">
        <v>11.071400000000001</v>
      </c>
      <c r="R73" s="1">
        <v>9.2682000000000002</v>
      </c>
      <c r="S73" s="1">
        <v>2.24E-2</v>
      </c>
      <c r="T73" s="1">
        <v>1.2024999999999999</v>
      </c>
      <c r="U73" s="1">
        <v>2.4994999999999998</v>
      </c>
      <c r="V73" s="1">
        <v>1.9028</v>
      </c>
      <c r="W73" s="1">
        <v>100.4</v>
      </c>
      <c r="X73" s="1">
        <v>1</v>
      </c>
      <c r="Y73" s="1">
        <v>1.4052</v>
      </c>
      <c r="AA73" s="1">
        <v>10.813800000000001</v>
      </c>
      <c r="AB73" s="1">
        <v>8.9461999999999993</v>
      </c>
      <c r="AC73" s="1">
        <v>2.3400000000000001E-2</v>
      </c>
      <c r="AD73" s="1">
        <v>3.3712</v>
      </c>
      <c r="AE73" s="1">
        <v>4.7542</v>
      </c>
      <c r="AF73" s="1">
        <v>2.2684000000000002</v>
      </c>
    </row>
    <row r="74" spans="1:32" x14ac:dyDescent="0.2">
      <c r="A74" s="1">
        <v>56</v>
      </c>
      <c r="B74" s="1">
        <v>1</v>
      </c>
      <c r="C74" s="1">
        <v>25</v>
      </c>
      <c r="D74" s="1">
        <v>1</v>
      </c>
      <c r="E74" s="1">
        <v>2.1575000000000002</v>
      </c>
      <c r="F74" s="1">
        <v>0.78539999999999999</v>
      </c>
      <c r="G74" s="1">
        <v>0.49</v>
      </c>
      <c r="H74" s="1">
        <v>-0.39100000000000001</v>
      </c>
      <c r="I74" s="1">
        <v>1.6000000000000001E-3</v>
      </c>
      <c r="J74" s="1">
        <v>2.9861</v>
      </c>
      <c r="K74" s="1">
        <v>3.6513</v>
      </c>
      <c r="L74" s="1">
        <v>1.7330000000000001</v>
      </c>
      <c r="M74" s="1">
        <v>-55.2</v>
      </c>
      <c r="N74" s="1">
        <v>1</v>
      </c>
      <c r="O74" s="1">
        <v>2.3006000000000002</v>
      </c>
      <c r="P74" s="1">
        <v>0.9083</v>
      </c>
      <c r="Q74" s="1">
        <v>2.1440999999999999</v>
      </c>
      <c r="R74" s="1">
        <v>-9.8481000000000005</v>
      </c>
      <c r="S74" s="1">
        <v>1.3100000000000001E-2</v>
      </c>
      <c r="T74" s="1">
        <v>0.95099999999999996</v>
      </c>
      <c r="U74" s="1">
        <v>2.6150000000000002</v>
      </c>
      <c r="V74" s="1">
        <v>1.5650999999999999</v>
      </c>
      <c r="W74" s="1">
        <v>100.9</v>
      </c>
      <c r="X74" s="1">
        <v>1</v>
      </c>
      <c r="Y74" s="1">
        <v>1.5777000000000001</v>
      </c>
      <c r="AA74" s="1">
        <v>0.40510000000000002</v>
      </c>
      <c r="AB74" s="1">
        <v>-0.55710000000000004</v>
      </c>
      <c r="AC74" s="1">
        <v>0.31</v>
      </c>
      <c r="AD74" s="1">
        <v>3.1351</v>
      </c>
      <c r="AE74" s="1">
        <v>4.8789999999999996</v>
      </c>
      <c r="AF74" s="1">
        <v>1.9068000000000001</v>
      </c>
    </row>
    <row r="75" spans="1:32" x14ac:dyDescent="0.2">
      <c r="A75" s="1">
        <v>57</v>
      </c>
      <c r="B75" s="1">
        <v>1</v>
      </c>
      <c r="C75" s="1">
        <v>25.1</v>
      </c>
      <c r="D75" s="1">
        <v>1</v>
      </c>
      <c r="E75" s="1">
        <v>2.25</v>
      </c>
      <c r="F75" s="1">
        <v>0.78920000000000001</v>
      </c>
      <c r="G75" s="1">
        <v>0.42509999999999998</v>
      </c>
      <c r="H75" s="1">
        <v>-0.57599999999999996</v>
      </c>
      <c r="I75" s="1">
        <v>1.2999999999999999E-3</v>
      </c>
      <c r="J75" s="1">
        <v>2.9735</v>
      </c>
      <c r="K75" s="1">
        <v>3.6642000000000001</v>
      </c>
      <c r="L75" s="1">
        <v>1.6682999999999999</v>
      </c>
      <c r="M75" s="1">
        <v>-55.2</v>
      </c>
      <c r="N75" s="1">
        <v>1</v>
      </c>
      <c r="O75" s="1">
        <v>2.3010999999999999</v>
      </c>
      <c r="P75" s="1">
        <v>0.90959999999999996</v>
      </c>
      <c r="Q75" s="1">
        <v>0.57279999999999998</v>
      </c>
      <c r="R75" s="1">
        <v>-0.71599999999999997</v>
      </c>
      <c r="S75" s="1">
        <v>1.21E-2</v>
      </c>
      <c r="T75" s="1">
        <v>0.94689999999999996</v>
      </c>
      <c r="U75" s="1">
        <v>2.5697000000000001</v>
      </c>
      <c r="V75" s="1">
        <v>1.5064</v>
      </c>
      <c r="W75" s="1">
        <v>100.8</v>
      </c>
      <c r="X75" s="1">
        <v>1</v>
      </c>
      <c r="Y75" s="1">
        <v>1.6614</v>
      </c>
      <c r="AA75" s="1">
        <v>0.35089999999999999</v>
      </c>
      <c r="AB75" s="1">
        <v>-0.46779999999999999</v>
      </c>
      <c r="AC75" s="1">
        <v>0.25130000000000002</v>
      </c>
      <c r="AD75" s="1">
        <v>3.1215000000000002</v>
      </c>
      <c r="AE75" s="1">
        <v>4.8746999999999998</v>
      </c>
      <c r="AF75" s="1">
        <v>1.8354999999999999</v>
      </c>
    </row>
    <row r="76" spans="1:32" x14ac:dyDescent="0.2">
      <c r="A76" s="1">
        <v>58</v>
      </c>
      <c r="B76" s="1">
        <v>1</v>
      </c>
      <c r="C76" s="1">
        <v>25</v>
      </c>
      <c r="D76" s="1">
        <v>1</v>
      </c>
      <c r="E76" s="1">
        <v>2.0064000000000002</v>
      </c>
      <c r="F76" s="1">
        <v>0.77159999999999995</v>
      </c>
      <c r="G76" s="1">
        <v>11.329000000000001</v>
      </c>
      <c r="H76" s="1">
        <v>10.6206</v>
      </c>
      <c r="I76" s="1">
        <v>2.5000000000000001E-3</v>
      </c>
      <c r="J76" s="1">
        <v>2.2435999999999998</v>
      </c>
      <c r="K76" s="1">
        <v>3.5592999999999999</v>
      </c>
      <c r="L76" s="1">
        <v>2.202</v>
      </c>
      <c r="M76" s="1">
        <v>-55.2</v>
      </c>
      <c r="N76" s="1">
        <v>1</v>
      </c>
      <c r="O76" s="1">
        <v>2.4483000000000001</v>
      </c>
      <c r="P76" s="1">
        <v>0.89300000000000002</v>
      </c>
      <c r="Q76" s="1">
        <v>10.2986</v>
      </c>
      <c r="R76" s="1">
        <v>9.6546000000000003</v>
      </c>
      <c r="S76" s="1">
        <v>2.23E-2</v>
      </c>
      <c r="T76" s="1">
        <v>1.3332999999999999</v>
      </c>
      <c r="U76" s="1">
        <v>2.4971000000000001</v>
      </c>
      <c r="V76" s="1">
        <v>2.0243000000000002</v>
      </c>
      <c r="W76" s="1">
        <v>100.4</v>
      </c>
      <c r="X76" s="1">
        <v>1</v>
      </c>
      <c r="Y76" s="1">
        <v>1.4777</v>
      </c>
      <c r="AA76" s="1">
        <v>12.230600000000001</v>
      </c>
      <c r="AB76" s="1">
        <v>9.5901999999999994</v>
      </c>
      <c r="AC76" s="1">
        <v>2.3300000000000001E-2</v>
      </c>
      <c r="AD76" s="1">
        <v>3.4337</v>
      </c>
      <c r="AE76" s="1">
        <v>4.7693000000000003</v>
      </c>
      <c r="AF76" s="1">
        <v>2.3893</v>
      </c>
    </row>
    <row r="77" spans="1:32" x14ac:dyDescent="0.2">
      <c r="A77" s="1">
        <v>59</v>
      </c>
      <c r="B77" s="1">
        <v>1</v>
      </c>
      <c r="C77" s="1">
        <v>25</v>
      </c>
      <c r="D77" s="1">
        <v>1</v>
      </c>
      <c r="E77" s="1">
        <v>1.9684999999999999</v>
      </c>
      <c r="F77" s="1">
        <v>0.77359999999999995</v>
      </c>
      <c r="G77" s="1">
        <v>11.071400000000001</v>
      </c>
      <c r="H77" s="1">
        <v>8.0447000000000006</v>
      </c>
      <c r="I77" s="1">
        <v>2.7000000000000001E-3</v>
      </c>
      <c r="J77" s="1">
        <v>2.2642000000000002</v>
      </c>
      <c r="K77" s="1">
        <v>3.5834999999999999</v>
      </c>
      <c r="L77" s="1">
        <v>2.1644000000000001</v>
      </c>
      <c r="M77" s="1">
        <v>-55.2</v>
      </c>
      <c r="N77" s="1">
        <v>1</v>
      </c>
      <c r="O77" s="1">
        <v>2.4159000000000002</v>
      </c>
      <c r="P77" s="1">
        <v>0.89559999999999995</v>
      </c>
      <c r="Q77" s="1">
        <v>10.363</v>
      </c>
      <c r="R77" s="1">
        <v>9.7189999999999994</v>
      </c>
      <c r="S77" s="1">
        <v>2.2700000000000001E-2</v>
      </c>
      <c r="T77" s="1">
        <v>1.333</v>
      </c>
      <c r="U77" s="1">
        <v>2.4485000000000001</v>
      </c>
      <c r="V77" s="1">
        <v>1.9841</v>
      </c>
      <c r="W77" s="1">
        <v>100.5</v>
      </c>
      <c r="X77" s="1">
        <v>1</v>
      </c>
      <c r="Y77" s="1">
        <v>1.4233</v>
      </c>
      <c r="AA77" s="1">
        <v>10.2986</v>
      </c>
      <c r="AB77" s="1">
        <v>11.200200000000001</v>
      </c>
      <c r="AC77" s="1">
        <v>2.24E-2</v>
      </c>
      <c r="AD77" s="1">
        <v>3.4314</v>
      </c>
      <c r="AE77" s="1">
        <v>4.7733999999999996</v>
      </c>
      <c r="AF77" s="1">
        <v>2.3551000000000002</v>
      </c>
    </row>
    <row r="78" spans="1:32" x14ac:dyDescent="0.2">
      <c r="A78" s="1">
        <v>60</v>
      </c>
      <c r="B78" s="1">
        <v>1</v>
      </c>
      <c r="C78" s="1">
        <v>25.1</v>
      </c>
      <c r="D78" s="1">
        <v>1</v>
      </c>
      <c r="E78" s="1">
        <v>2.0188000000000001</v>
      </c>
      <c r="F78" s="1">
        <v>0.7792</v>
      </c>
      <c r="G78" s="1">
        <v>11.2646</v>
      </c>
      <c r="H78" s="1">
        <v>9.5901999999999994</v>
      </c>
      <c r="I78" s="1">
        <v>2.8E-3</v>
      </c>
      <c r="J78" s="1">
        <v>2.2911999999999999</v>
      </c>
      <c r="K78" s="1">
        <v>3.61</v>
      </c>
      <c r="L78" s="1">
        <v>1.9142999999999999</v>
      </c>
      <c r="M78" s="1">
        <v>-55.2</v>
      </c>
      <c r="N78" s="1">
        <v>1</v>
      </c>
      <c r="O78" s="1">
        <v>2.4580000000000002</v>
      </c>
      <c r="P78" s="1">
        <v>0.89839999999999998</v>
      </c>
      <c r="Q78" s="1">
        <v>9.9765999999999995</v>
      </c>
      <c r="R78" s="1">
        <v>9.7189999999999994</v>
      </c>
      <c r="S78" s="1">
        <v>2.24E-2</v>
      </c>
      <c r="T78" s="1">
        <v>1.1822999999999999</v>
      </c>
      <c r="U78" s="1">
        <v>2.5019</v>
      </c>
      <c r="V78" s="1">
        <v>1.7444</v>
      </c>
      <c r="W78" s="1">
        <v>100.5</v>
      </c>
      <c r="X78" s="1">
        <v>1</v>
      </c>
      <c r="Y78" s="1">
        <v>1.4844999999999999</v>
      </c>
      <c r="AA78" s="1">
        <v>10.6206</v>
      </c>
      <c r="AB78" s="1">
        <v>10.2986</v>
      </c>
      <c r="AC78" s="1">
        <v>2.2499999999999999E-2</v>
      </c>
      <c r="AD78" s="1">
        <v>3.4514</v>
      </c>
      <c r="AE78" s="1">
        <v>4.8564999999999996</v>
      </c>
      <c r="AF78" s="1">
        <v>2.0895999999999999</v>
      </c>
    </row>
    <row r="79" spans="1:32" x14ac:dyDescent="0.2">
      <c r="A79" s="1">
        <v>61</v>
      </c>
      <c r="B79" s="1">
        <v>1</v>
      </c>
      <c r="C79" s="1">
        <v>25.1</v>
      </c>
      <c r="D79" s="1">
        <v>1</v>
      </c>
      <c r="E79" s="1">
        <v>1.9318</v>
      </c>
      <c r="F79" s="1">
        <v>0.77229999999999999</v>
      </c>
      <c r="G79" s="1">
        <v>11.071400000000001</v>
      </c>
      <c r="H79" s="1">
        <v>10.6206</v>
      </c>
      <c r="I79" s="1">
        <v>2.5000000000000001E-3</v>
      </c>
      <c r="J79" s="1">
        <v>2.2841999999999998</v>
      </c>
      <c r="K79" s="1">
        <v>3.5129999999999999</v>
      </c>
      <c r="L79" s="1">
        <v>2.1497999999999999</v>
      </c>
      <c r="M79" s="1">
        <v>-55.2</v>
      </c>
      <c r="N79" s="1">
        <v>1</v>
      </c>
      <c r="O79" s="1">
        <v>2.3714</v>
      </c>
      <c r="P79" s="1">
        <v>0.89390000000000003</v>
      </c>
      <c r="Q79" s="1">
        <v>9.0106000000000002</v>
      </c>
      <c r="R79" s="1">
        <v>9.2037999999999993</v>
      </c>
      <c r="S79" s="1">
        <v>2.29E-2</v>
      </c>
      <c r="T79" s="1">
        <v>1.1993</v>
      </c>
      <c r="U79" s="1">
        <v>2.4342000000000001</v>
      </c>
      <c r="V79" s="1">
        <v>1.9710000000000001</v>
      </c>
      <c r="W79" s="1">
        <v>100.6</v>
      </c>
      <c r="X79" s="1">
        <v>1</v>
      </c>
      <c r="Y79" s="1">
        <v>1.401</v>
      </c>
      <c r="AA79" s="1">
        <v>11.586600000000001</v>
      </c>
      <c r="AB79" s="1">
        <v>10.363</v>
      </c>
      <c r="AC79" s="1">
        <v>2.1499999999999998E-2</v>
      </c>
      <c r="AD79" s="1">
        <v>3.4803000000000002</v>
      </c>
      <c r="AE79" s="1">
        <v>4.7747000000000002</v>
      </c>
      <c r="AF79" s="1">
        <v>2.3378999999999999</v>
      </c>
    </row>
    <row r="80" spans="1:32" x14ac:dyDescent="0.2">
      <c r="A80" s="1">
        <v>62</v>
      </c>
      <c r="B80" s="1">
        <v>1</v>
      </c>
      <c r="C80" s="1">
        <v>25.1</v>
      </c>
      <c r="D80" s="1">
        <v>1</v>
      </c>
      <c r="E80" s="1">
        <v>2.3001999999999998</v>
      </c>
      <c r="F80" s="1">
        <v>0.78639999999999999</v>
      </c>
      <c r="G80" s="1">
        <v>0.3175</v>
      </c>
      <c r="H80" s="1">
        <v>-0.44869999999999999</v>
      </c>
      <c r="I80" s="1">
        <v>1.8E-3</v>
      </c>
      <c r="J80" s="1">
        <v>3.2282000000000002</v>
      </c>
      <c r="K80" s="1">
        <v>3.7071999999999998</v>
      </c>
      <c r="L80" s="1">
        <v>1.887</v>
      </c>
      <c r="M80" s="1">
        <v>-55.3</v>
      </c>
      <c r="N80" s="1">
        <v>1</v>
      </c>
      <c r="O80" s="1">
        <v>2.3010000000000002</v>
      </c>
      <c r="P80" s="1">
        <v>0.90620000000000001</v>
      </c>
      <c r="Q80" s="1">
        <v>22.002800000000001</v>
      </c>
      <c r="R80" s="1">
        <v>-31.343699999999998</v>
      </c>
      <c r="S80" s="1">
        <v>6.6E-3</v>
      </c>
      <c r="T80" s="1">
        <v>1.0773999999999999</v>
      </c>
      <c r="U80" s="1">
        <v>2.6924000000000001</v>
      </c>
      <c r="V80" s="1">
        <v>1.7243999999999999</v>
      </c>
      <c r="W80" s="1">
        <v>101.1</v>
      </c>
      <c r="X80" s="1">
        <v>1</v>
      </c>
      <c r="Y80" s="1">
        <v>1.6617</v>
      </c>
      <c r="AA80" s="1">
        <v>0.57569999999999999</v>
      </c>
      <c r="AB80" s="1">
        <v>-0.69410000000000005</v>
      </c>
      <c r="AC80" s="1">
        <v>0.27089999999999997</v>
      </c>
      <c r="AD80" s="1">
        <v>3.2648000000000001</v>
      </c>
      <c r="AE80" s="1">
        <v>5.0731000000000002</v>
      </c>
      <c r="AF80" s="1">
        <v>2.0708000000000002</v>
      </c>
    </row>
    <row r="81" spans="1:32" x14ac:dyDescent="0.2">
      <c r="A81" s="1">
        <v>63</v>
      </c>
      <c r="B81" s="1">
        <v>1</v>
      </c>
      <c r="C81" s="1">
        <v>25.1</v>
      </c>
      <c r="D81" s="1">
        <v>1</v>
      </c>
      <c r="E81" s="1">
        <v>1.9019999999999999</v>
      </c>
      <c r="F81" s="1">
        <v>0.77139999999999997</v>
      </c>
      <c r="G81" s="1">
        <v>11.651</v>
      </c>
      <c r="H81" s="1">
        <v>9.9765999999999995</v>
      </c>
      <c r="I81" s="1">
        <v>2.5999999999999999E-3</v>
      </c>
      <c r="J81" s="1">
        <v>2.2734000000000001</v>
      </c>
      <c r="K81" s="1">
        <v>3.5398000000000001</v>
      </c>
      <c r="L81" s="1">
        <v>2.3081</v>
      </c>
      <c r="M81" s="1">
        <v>-55.2</v>
      </c>
      <c r="N81" s="1">
        <v>1</v>
      </c>
      <c r="O81" s="1">
        <v>2.3229000000000002</v>
      </c>
      <c r="P81" s="1">
        <v>0.89149999999999996</v>
      </c>
      <c r="Q81" s="1">
        <v>10.8782</v>
      </c>
      <c r="R81" s="1">
        <v>8.2378</v>
      </c>
      <c r="S81" s="1">
        <v>2.2499999999999999E-2</v>
      </c>
      <c r="T81" s="1">
        <v>1.2655000000000001</v>
      </c>
      <c r="U81" s="1">
        <v>2.4942000000000002</v>
      </c>
      <c r="V81" s="1">
        <v>2.1294</v>
      </c>
      <c r="W81" s="1">
        <v>100.3</v>
      </c>
      <c r="X81" s="1">
        <v>1</v>
      </c>
      <c r="Y81" s="1">
        <v>1.3916999999999999</v>
      </c>
      <c r="AA81" s="1">
        <v>9.5258000000000003</v>
      </c>
      <c r="AB81" s="1">
        <v>8.9461999999999993</v>
      </c>
      <c r="AC81" s="1">
        <v>2.1499999999999998E-2</v>
      </c>
      <c r="AD81" s="1">
        <v>3.3881000000000001</v>
      </c>
      <c r="AE81" s="1">
        <v>4.8205</v>
      </c>
      <c r="AF81" s="1">
        <v>2.4983</v>
      </c>
    </row>
    <row r="82" spans="1:32" x14ac:dyDescent="0.2">
      <c r="A82" s="1">
        <v>64</v>
      </c>
      <c r="B82" s="1">
        <v>1</v>
      </c>
      <c r="C82" s="1">
        <v>25.1</v>
      </c>
      <c r="D82" s="1">
        <v>1</v>
      </c>
      <c r="E82" s="1">
        <v>2.0316000000000001</v>
      </c>
      <c r="F82" s="1">
        <v>0.77390000000000003</v>
      </c>
      <c r="G82" s="1">
        <v>10.942600000000001</v>
      </c>
      <c r="H82" s="1">
        <v>9.2682000000000002</v>
      </c>
      <c r="I82" s="1">
        <v>2.7000000000000001E-3</v>
      </c>
      <c r="J82" s="1">
        <v>2.2936999999999999</v>
      </c>
      <c r="K82" s="1">
        <v>3.5383</v>
      </c>
      <c r="L82" s="1">
        <v>1.9973000000000001</v>
      </c>
      <c r="M82" s="1">
        <v>-55.1</v>
      </c>
      <c r="N82" s="1">
        <v>1</v>
      </c>
      <c r="O82" s="1">
        <v>2.4794999999999998</v>
      </c>
      <c r="P82" s="1">
        <v>0.8952</v>
      </c>
      <c r="Q82" s="1">
        <v>10.942600000000001</v>
      </c>
      <c r="R82" s="1">
        <v>9.1394000000000002</v>
      </c>
      <c r="S82" s="1">
        <v>2.3099999999999999E-2</v>
      </c>
      <c r="T82" s="1">
        <v>1.1085</v>
      </c>
      <c r="U82" s="1">
        <v>2.4424999999999999</v>
      </c>
      <c r="V82" s="1">
        <v>1.8226</v>
      </c>
      <c r="W82" s="1">
        <v>100.6</v>
      </c>
      <c r="X82" s="1">
        <v>1</v>
      </c>
      <c r="Y82" s="1">
        <v>1.4822</v>
      </c>
      <c r="AA82" s="1">
        <v>11.715400000000001</v>
      </c>
      <c r="AB82" s="1">
        <v>9.3325999999999993</v>
      </c>
      <c r="AC82" s="1">
        <v>2.1899999999999999E-2</v>
      </c>
      <c r="AD82" s="1">
        <v>3.3433999999999999</v>
      </c>
      <c r="AE82" s="1">
        <v>4.8128000000000002</v>
      </c>
      <c r="AF82" s="1">
        <v>2.1800999999999999</v>
      </c>
    </row>
    <row r="83" spans="1:32" x14ac:dyDescent="0.2">
      <c r="A83" s="1">
        <v>65</v>
      </c>
      <c r="B83" s="1">
        <v>1</v>
      </c>
      <c r="C83" s="1">
        <v>25</v>
      </c>
      <c r="D83" s="1">
        <v>1</v>
      </c>
      <c r="E83" s="1">
        <v>2.1307</v>
      </c>
      <c r="F83" s="1">
        <v>0.78159999999999996</v>
      </c>
      <c r="G83" s="1">
        <v>0.36820000000000003</v>
      </c>
      <c r="H83" s="1">
        <v>-0.61809999999999998</v>
      </c>
      <c r="I83" s="1">
        <v>1.2999999999999999E-3</v>
      </c>
      <c r="J83" s="1">
        <v>3.0966999999999998</v>
      </c>
      <c r="K83" s="1">
        <v>3.5032000000000001</v>
      </c>
      <c r="L83" s="1">
        <v>1.8398000000000001</v>
      </c>
      <c r="M83" s="1">
        <v>-55.2</v>
      </c>
      <c r="N83" s="1">
        <v>1</v>
      </c>
      <c r="O83" s="1">
        <v>2.3010999999999999</v>
      </c>
      <c r="P83" s="1">
        <v>0.90029999999999999</v>
      </c>
      <c r="Q83" s="1">
        <v>27.938700000000001</v>
      </c>
      <c r="R83" s="1">
        <v>-30.597999999999999</v>
      </c>
      <c r="S83" s="1">
        <v>3.8999999999999998E-3</v>
      </c>
      <c r="T83" s="1">
        <v>1.0102</v>
      </c>
      <c r="U83" s="1">
        <v>2.4443000000000001</v>
      </c>
      <c r="V83" s="1">
        <v>1.6910000000000001</v>
      </c>
      <c r="W83" s="1">
        <v>100.9</v>
      </c>
      <c r="X83" s="1">
        <v>1</v>
      </c>
      <c r="Y83" s="1">
        <v>1.5813999999999999</v>
      </c>
      <c r="AA83" s="1">
        <v>0.41320000000000001</v>
      </c>
      <c r="AB83" s="1">
        <v>-0.49080000000000001</v>
      </c>
      <c r="AC83" s="1">
        <v>0.23780000000000001</v>
      </c>
      <c r="AD83" s="1">
        <v>3.137</v>
      </c>
      <c r="AE83" s="1">
        <v>4.7506000000000004</v>
      </c>
      <c r="AF83" s="1">
        <v>2.0097999999999998</v>
      </c>
    </row>
    <row r="84" spans="1:32" x14ac:dyDescent="0.2">
      <c r="A84" s="1">
        <v>66</v>
      </c>
      <c r="B84" s="1">
        <v>1</v>
      </c>
      <c r="C84" s="1">
        <v>25</v>
      </c>
      <c r="D84" s="1">
        <v>1</v>
      </c>
      <c r="E84" s="1">
        <v>2.0204</v>
      </c>
      <c r="F84" s="1">
        <v>0.77790000000000004</v>
      </c>
      <c r="G84" s="1">
        <v>9.9765999999999995</v>
      </c>
      <c r="H84" s="1">
        <v>10.7494</v>
      </c>
      <c r="I84" s="1">
        <v>2.3999999999999998E-3</v>
      </c>
      <c r="J84" s="1">
        <v>2.1314000000000002</v>
      </c>
      <c r="K84" s="1">
        <v>3.5449999999999999</v>
      </c>
      <c r="L84" s="1">
        <v>1.8752</v>
      </c>
      <c r="M84" s="1">
        <v>-55.1</v>
      </c>
      <c r="N84" s="1">
        <v>1</v>
      </c>
      <c r="O84" s="1">
        <v>2.4603000000000002</v>
      </c>
      <c r="P84" s="1">
        <v>0.89790000000000003</v>
      </c>
      <c r="Q84" s="1">
        <v>9.2037999999999993</v>
      </c>
      <c r="R84" s="1">
        <v>10.041</v>
      </c>
      <c r="S84" s="1">
        <v>2.18E-2</v>
      </c>
      <c r="T84" s="1">
        <v>1.2422</v>
      </c>
      <c r="U84" s="1">
        <v>2.5144000000000002</v>
      </c>
      <c r="V84" s="1">
        <v>1.7058</v>
      </c>
      <c r="W84" s="1">
        <v>100.4</v>
      </c>
      <c r="X84" s="1">
        <v>1</v>
      </c>
      <c r="Y84" s="1">
        <v>1.4786999999999999</v>
      </c>
      <c r="AA84" s="1">
        <v>10.685</v>
      </c>
      <c r="AB84" s="1">
        <v>8.2378</v>
      </c>
      <c r="AC84" s="1">
        <v>2.23E-2</v>
      </c>
      <c r="AD84" s="1">
        <v>3.2551000000000001</v>
      </c>
      <c r="AE84" s="1">
        <v>4.7469999999999999</v>
      </c>
      <c r="AF84" s="1">
        <v>2.0503</v>
      </c>
    </row>
    <row r="85" spans="1:32" x14ac:dyDescent="0.2">
      <c r="A85" s="1">
        <v>67</v>
      </c>
      <c r="B85" s="1">
        <v>1</v>
      </c>
      <c r="C85" s="1">
        <v>25</v>
      </c>
      <c r="D85" s="1">
        <v>1</v>
      </c>
      <c r="E85" s="1">
        <v>1.9113</v>
      </c>
      <c r="F85" s="1">
        <v>0.77059999999999995</v>
      </c>
      <c r="G85" s="1">
        <v>11.329000000000001</v>
      </c>
      <c r="H85" s="1">
        <v>9.3325999999999993</v>
      </c>
      <c r="I85" s="1">
        <v>2.5000000000000001E-3</v>
      </c>
      <c r="J85" s="1">
        <v>2.3054999999999999</v>
      </c>
      <c r="K85" s="1">
        <v>3.6173000000000002</v>
      </c>
      <c r="L85" s="1">
        <v>2.3043</v>
      </c>
      <c r="M85" s="1">
        <v>-55.2</v>
      </c>
      <c r="N85" s="1">
        <v>1</v>
      </c>
      <c r="O85" s="1">
        <v>2.3586999999999998</v>
      </c>
      <c r="P85" s="1">
        <v>0.89490000000000003</v>
      </c>
      <c r="Q85" s="1">
        <v>10.2986</v>
      </c>
      <c r="R85" s="1">
        <v>10.4918</v>
      </c>
      <c r="S85" s="1">
        <v>2.3300000000000001E-2</v>
      </c>
      <c r="T85" s="1">
        <v>1.2377</v>
      </c>
      <c r="U85" s="1">
        <v>2.4308000000000001</v>
      </c>
      <c r="V85" s="1">
        <v>2.1225999999999998</v>
      </c>
      <c r="W85" s="1">
        <v>100.5</v>
      </c>
      <c r="X85" s="1">
        <v>1</v>
      </c>
      <c r="Y85" s="1">
        <v>1.3666</v>
      </c>
      <c r="AA85" s="1">
        <v>10.8782</v>
      </c>
      <c r="AB85" s="1">
        <v>9.8477999999999994</v>
      </c>
      <c r="AC85" s="1">
        <v>2.2700000000000001E-2</v>
      </c>
      <c r="AD85" s="1">
        <v>3.4750999999999999</v>
      </c>
      <c r="AE85" s="1">
        <v>4.8497000000000003</v>
      </c>
      <c r="AF85" s="1">
        <v>2.5007000000000001</v>
      </c>
    </row>
    <row r="86" spans="1:32" x14ac:dyDescent="0.2">
      <c r="A86" s="1">
        <v>68</v>
      </c>
      <c r="B86" s="1">
        <v>1</v>
      </c>
      <c r="C86" s="1">
        <v>25</v>
      </c>
      <c r="D86" s="1">
        <v>1</v>
      </c>
      <c r="E86" s="1">
        <v>1.9045000000000001</v>
      </c>
      <c r="F86" s="1">
        <v>0.76990000000000003</v>
      </c>
      <c r="G86" s="1">
        <v>10.4918</v>
      </c>
      <c r="H86" s="1">
        <v>11.200200000000001</v>
      </c>
      <c r="I86" s="1">
        <v>2.5000000000000001E-3</v>
      </c>
      <c r="J86" s="1">
        <v>2.3687</v>
      </c>
      <c r="K86" s="1">
        <v>3.6017000000000001</v>
      </c>
      <c r="L86" s="1">
        <v>2.3363999999999998</v>
      </c>
      <c r="M86" s="1">
        <v>-55.3</v>
      </c>
      <c r="N86" s="1">
        <v>1</v>
      </c>
      <c r="O86" s="1">
        <v>2.3456999999999999</v>
      </c>
      <c r="P86" s="1">
        <v>0.8931</v>
      </c>
      <c r="Q86" s="1">
        <v>9.9765999999999995</v>
      </c>
      <c r="R86" s="1">
        <v>11.586600000000001</v>
      </c>
      <c r="S86" s="1">
        <v>2.2599999999999999E-2</v>
      </c>
      <c r="T86" s="1">
        <v>1.2887999999999999</v>
      </c>
      <c r="U86" s="1">
        <v>2.5034000000000001</v>
      </c>
      <c r="V86" s="1">
        <v>2.1562999999999999</v>
      </c>
      <c r="W86" s="1">
        <v>100.5</v>
      </c>
      <c r="X86" s="1">
        <v>1</v>
      </c>
      <c r="Y86" s="1">
        <v>1.3740000000000001</v>
      </c>
      <c r="AA86" s="1">
        <v>11.1358</v>
      </c>
      <c r="AB86" s="1">
        <v>7.6582999999999997</v>
      </c>
      <c r="AC86" s="1">
        <v>2.18E-2</v>
      </c>
      <c r="AD86" s="1">
        <v>3.4834999999999998</v>
      </c>
      <c r="AE86" s="1">
        <v>4.8403</v>
      </c>
      <c r="AF86" s="1">
        <v>2.5308000000000002</v>
      </c>
    </row>
    <row r="87" spans="1:32" x14ac:dyDescent="0.2">
      <c r="A87" s="1">
        <v>69</v>
      </c>
      <c r="B87" s="1">
        <v>1</v>
      </c>
      <c r="C87" s="1">
        <v>25.1</v>
      </c>
      <c r="D87" s="1">
        <v>1</v>
      </c>
      <c r="E87" s="1">
        <v>1.9126000000000001</v>
      </c>
      <c r="F87" s="1">
        <v>0.77010000000000001</v>
      </c>
      <c r="G87" s="1">
        <v>9.8477999999999994</v>
      </c>
      <c r="H87" s="1">
        <v>10.1698</v>
      </c>
      <c r="I87" s="1">
        <v>2.5000000000000001E-3</v>
      </c>
      <c r="J87" s="1">
        <v>2.3273000000000001</v>
      </c>
      <c r="K87" s="1">
        <v>3.5415999999999999</v>
      </c>
      <c r="L87" s="1">
        <v>2.3311999999999999</v>
      </c>
      <c r="M87" s="1">
        <v>-55.2</v>
      </c>
      <c r="N87" s="1">
        <v>1</v>
      </c>
      <c r="O87" s="1">
        <v>2.3536999999999999</v>
      </c>
      <c r="P87" s="1">
        <v>0.89280000000000004</v>
      </c>
      <c r="Q87" s="1">
        <v>11.1358</v>
      </c>
      <c r="R87" s="1">
        <v>10.2986</v>
      </c>
      <c r="S87" s="1">
        <v>2.2700000000000001E-2</v>
      </c>
      <c r="T87" s="1">
        <v>1.2553000000000001</v>
      </c>
      <c r="U87" s="1">
        <v>2.4868000000000001</v>
      </c>
      <c r="V87" s="1">
        <v>2.1518999999999999</v>
      </c>
      <c r="W87" s="1">
        <v>100.2</v>
      </c>
      <c r="X87" s="1">
        <v>1</v>
      </c>
      <c r="Y87" s="1">
        <v>1.3785000000000001</v>
      </c>
      <c r="AA87" s="1">
        <v>10.5562</v>
      </c>
      <c r="AB87" s="1">
        <v>10.6206</v>
      </c>
      <c r="AC87" s="1">
        <v>2.3300000000000001E-2</v>
      </c>
      <c r="AD87" s="1">
        <v>3.4142999999999999</v>
      </c>
      <c r="AE87" s="1">
        <v>4.8314000000000004</v>
      </c>
      <c r="AF87" s="1">
        <v>2.5255999999999998</v>
      </c>
    </row>
    <row r="88" spans="1:32" x14ac:dyDescent="0.2">
      <c r="A88" s="1">
        <v>70</v>
      </c>
      <c r="B88" s="1">
        <v>1</v>
      </c>
      <c r="C88" s="1">
        <v>25.1</v>
      </c>
      <c r="D88" s="1">
        <v>1</v>
      </c>
      <c r="E88" s="1">
        <v>1.9538</v>
      </c>
      <c r="F88" s="1">
        <v>0.77890000000000004</v>
      </c>
      <c r="G88" s="1">
        <v>11.071400000000001</v>
      </c>
      <c r="H88" s="1">
        <v>10.5562</v>
      </c>
      <c r="I88" s="1">
        <v>2.3999999999999998E-3</v>
      </c>
      <c r="J88" s="1">
        <v>2.1229</v>
      </c>
      <c r="K88" s="1">
        <v>3.7623000000000002</v>
      </c>
      <c r="L88" s="1">
        <v>1.8165</v>
      </c>
      <c r="M88" s="1">
        <v>-55.1</v>
      </c>
      <c r="N88" s="1">
        <v>1</v>
      </c>
      <c r="O88" s="1">
        <v>2.3658999999999999</v>
      </c>
      <c r="P88" s="1">
        <v>0.9002</v>
      </c>
      <c r="Q88" s="1">
        <v>11.007</v>
      </c>
      <c r="R88" s="1">
        <v>10.041</v>
      </c>
      <c r="S88" s="1">
        <v>2.2599999999999999E-2</v>
      </c>
      <c r="T88" s="1">
        <v>1.1197999999999999</v>
      </c>
      <c r="U88" s="1">
        <v>2.6783000000000001</v>
      </c>
      <c r="V88" s="1">
        <v>1.6483000000000001</v>
      </c>
      <c r="W88" s="1">
        <v>100.5</v>
      </c>
      <c r="X88" s="1">
        <v>1</v>
      </c>
      <c r="Y88" s="1">
        <v>1.4478</v>
      </c>
      <c r="AA88" s="1">
        <v>11.071400000000001</v>
      </c>
      <c r="AB88" s="1">
        <v>9.8477999999999994</v>
      </c>
      <c r="AC88" s="1">
        <v>2.3099999999999999E-2</v>
      </c>
      <c r="AD88" s="1">
        <v>3.3246000000000002</v>
      </c>
      <c r="AE88" s="1">
        <v>4.9539999999999997</v>
      </c>
      <c r="AF88" s="1">
        <v>1.992</v>
      </c>
    </row>
    <row r="89" spans="1:32" x14ac:dyDescent="0.2">
      <c r="A89" s="1">
        <v>71</v>
      </c>
      <c r="B89" s="1">
        <v>1</v>
      </c>
      <c r="C89" s="1">
        <v>25.1</v>
      </c>
      <c r="D89" s="1">
        <v>1</v>
      </c>
      <c r="E89" s="1">
        <v>2.0243000000000002</v>
      </c>
      <c r="F89" s="1">
        <v>0.77349999999999997</v>
      </c>
      <c r="G89" s="1">
        <v>10.2986</v>
      </c>
      <c r="H89" s="1">
        <v>9.5901999999999994</v>
      </c>
      <c r="I89" s="1">
        <v>2.5000000000000001E-3</v>
      </c>
      <c r="J89" s="1">
        <v>2.17</v>
      </c>
      <c r="K89" s="1">
        <v>3.5543999999999998</v>
      </c>
      <c r="L89" s="1">
        <v>2.1112000000000002</v>
      </c>
      <c r="M89" s="1">
        <v>-55.3</v>
      </c>
      <c r="N89" s="1">
        <v>1</v>
      </c>
      <c r="O89" s="1">
        <v>2.4664999999999999</v>
      </c>
      <c r="P89" s="1">
        <v>0.89539999999999997</v>
      </c>
      <c r="Q89" s="1">
        <v>11.007</v>
      </c>
      <c r="R89" s="1">
        <v>9.2682000000000002</v>
      </c>
      <c r="S89" s="1">
        <v>2.4E-2</v>
      </c>
      <c r="T89" s="1">
        <v>1.1919999999999999</v>
      </c>
      <c r="U89" s="1">
        <v>2.468</v>
      </c>
      <c r="V89" s="1">
        <v>1.9336</v>
      </c>
      <c r="W89" s="1">
        <v>100.5</v>
      </c>
      <c r="X89" s="1">
        <v>1</v>
      </c>
      <c r="Y89" s="1">
        <v>1.4758</v>
      </c>
      <c r="AA89" s="1">
        <v>10.7494</v>
      </c>
      <c r="AB89" s="1">
        <v>9.2682000000000002</v>
      </c>
      <c r="AC89" s="1">
        <v>2.3199999999999998E-2</v>
      </c>
      <c r="AD89" s="1">
        <v>3.4386999999999999</v>
      </c>
      <c r="AE89" s="1">
        <v>4.7968000000000002</v>
      </c>
      <c r="AF89" s="1">
        <v>2.3006000000000002</v>
      </c>
    </row>
    <row r="90" spans="1:32" x14ac:dyDescent="0.2">
      <c r="A90" s="1">
        <v>72</v>
      </c>
      <c r="B90" s="1">
        <v>1</v>
      </c>
      <c r="C90" s="1">
        <v>25</v>
      </c>
      <c r="D90" s="1">
        <v>1</v>
      </c>
      <c r="E90" s="1">
        <v>2.0188999999999999</v>
      </c>
      <c r="F90" s="1">
        <v>0.77700000000000002</v>
      </c>
      <c r="G90" s="1">
        <v>10.1698</v>
      </c>
      <c r="H90" s="1">
        <v>10.2342</v>
      </c>
      <c r="I90" s="1">
        <v>2.3999999999999998E-3</v>
      </c>
      <c r="J90" s="1">
        <v>2.1825000000000001</v>
      </c>
      <c r="K90" s="1">
        <v>3.6055000000000001</v>
      </c>
      <c r="L90" s="1">
        <v>2.0668000000000002</v>
      </c>
      <c r="M90" s="1">
        <v>-55.1</v>
      </c>
      <c r="N90" s="1">
        <v>1</v>
      </c>
      <c r="O90" s="1">
        <v>2.4514999999999998</v>
      </c>
      <c r="P90" s="1">
        <v>0.89649999999999996</v>
      </c>
      <c r="Q90" s="1">
        <v>10.105399999999999</v>
      </c>
      <c r="R90" s="1">
        <v>11.007</v>
      </c>
      <c r="S90" s="1">
        <v>2.2800000000000001E-2</v>
      </c>
      <c r="T90" s="1">
        <v>1.2645999999999999</v>
      </c>
      <c r="U90" s="1">
        <v>2.5615000000000001</v>
      </c>
      <c r="V90" s="1">
        <v>1.8929</v>
      </c>
      <c r="W90" s="1">
        <v>100.6</v>
      </c>
      <c r="X90" s="1">
        <v>1</v>
      </c>
      <c r="Y90" s="1">
        <v>1.4847999999999999</v>
      </c>
      <c r="AA90" s="1">
        <v>11.9086</v>
      </c>
      <c r="AB90" s="1">
        <v>8.6242000000000001</v>
      </c>
      <c r="AC90" s="1">
        <v>2.2499999999999999E-2</v>
      </c>
      <c r="AD90" s="1">
        <v>3.2747999999999999</v>
      </c>
      <c r="AE90" s="1">
        <v>4.8609999999999998</v>
      </c>
      <c r="AF90" s="1">
        <v>2.2511000000000001</v>
      </c>
    </row>
    <row r="91" spans="1:32" x14ac:dyDescent="0.2">
      <c r="A91" s="1">
        <v>73</v>
      </c>
      <c r="B91" s="1">
        <v>1</v>
      </c>
      <c r="C91" s="1">
        <v>25.2</v>
      </c>
      <c r="D91" s="1">
        <v>1</v>
      </c>
      <c r="E91" s="1">
        <v>2.0084</v>
      </c>
      <c r="F91" s="1">
        <v>0.7712</v>
      </c>
      <c r="G91" s="1">
        <v>10.041</v>
      </c>
      <c r="H91" s="1">
        <v>10.685</v>
      </c>
      <c r="I91" s="1">
        <v>2.5999999999999999E-3</v>
      </c>
      <c r="J91" s="1">
        <v>2.2406000000000001</v>
      </c>
      <c r="K91" s="1">
        <v>3.5604</v>
      </c>
      <c r="L91" s="1">
        <v>2.2418999999999998</v>
      </c>
      <c r="M91" s="1">
        <v>-55.2</v>
      </c>
      <c r="N91" s="1">
        <v>1</v>
      </c>
      <c r="O91" s="1">
        <v>2.4651999999999998</v>
      </c>
      <c r="P91" s="1">
        <v>0.8952</v>
      </c>
      <c r="Q91" s="1">
        <v>9.5901999999999994</v>
      </c>
      <c r="R91" s="1">
        <v>8.6885999999999992</v>
      </c>
      <c r="S91" s="1">
        <v>2.3599999999999999E-2</v>
      </c>
      <c r="T91" s="1">
        <v>1.2367999999999999</v>
      </c>
      <c r="U91" s="1">
        <v>2.4971999999999999</v>
      </c>
      <c r="V91" s="1">
        <v>2.0590000000000002</v>
      </c>
      <c r="W91" s="1">
        <v>100.6</v>
      </c>
      <c r="X91" s="1">
        <v>1</v>
      </c>
      <c r="Y91" s="1">
        <v>1.4452</v>
      </c>
      <c r="AA91" s="1">
        <v>9.2037999999999993</v>
      </c>
      <c r="AB91" s="1">
        <v>8.6242000000000001</v>
      </c>
      <c r="AC91" s="1">
        <v>2.2499999999999999E-2</v>
      </c>
      <c r="AD91" s="1">
        <v>3.3912</v>
      </c>
      <c r="AE91" s="1">
        <v>4.8792999999999997</v>
      </c>
      <c r="AF91" s="1">
        <v>2.4411</v>
      </c>
    </row>
    <row r="92" spans="1:32" x14ac:dyDescent="0.2">
      <c r="A92" s="1">
        <v>74</v>
      </c>
      <c r="B92" s="1">
        <v>1</v>
      </c>
      <c r="C92" s="1">
        <v>25.1</v>
      </c>
      <c r="D92" s="1">
        <v>1</v>
      </c>
      <c r="E92" s="1">
        <v>2.0116000000000001</v>
      </c>
      <c r="F92" s="1">
        <v>0.77149999999999996</v>
      </c>
      <c r="G92" s="1">
        <v>9.8477999999999994</v>
      </c>
      <c r="H92" s="1">
        <v>9.7189999999999994</v>
      </c>
      <c r="I92" s="1">
        <v>2.5000000000000001E-3</v>
      </c>
      <c r="J92" s="1">
        <v>2.3258999999999999</v>
      </c>
      <c r="K92" s="1">
        <v>3.6322000000000001</v>
      </c>
      <c r="L92" s="1">
        <v>2.2713000000000001</v>
      </c>
      <c r="M92" s="1">
        <v>-55.1</v>
      </c>
      <c r="N92" s="1">
        <v>1</v>
      </c>
      <c r="O92" s="1">
        <v>2.4779</v>
      </c>
      <c r="P92" s="1">
        <v>0.89729999999999999</v>
      </c>
      <c r="Q92" s="1">
        <v>9.5901999999999994</v>
      </c>
      <c r="R92" s="1">
        <v>8.7530000000000001</v>
      </c>
      <c r="S92" s="1">
        <v>2.2800000000000001E-2</v>
      </c>
      <c r="T92" s="1">
        <v>1.2178</v>
      </c>
      <c r="U92" s="1">
        <v>2.4661</v>
      </c>
      <c r="V92" s="1">
        <v>2.0863</v>
      </c>
      <c r="W92" s="1">
        <v>101</v>
      </c>
      <c r="X92" s="1">
        <v>1</v>
      </c>
      <c r="Y92" s="1">
        <v>1.4383999999999999</v>
      </c>
      <c r="AA92" s="1">
        <v>9.6546000000000003</v>
      </c>
      <c r="AB92" s="1">
        <v>10.5562</v>
      </c>
      <c r="AC92" s="1">
        <v>2.1999999999999999E-2</v>
      </c>
      <c r="AD92" s="1">
        <v>3.4481000000000002</v>
      </c>
      <c r="AE92" s="1">
        <v>4.9554</v>
      </c>
      <c r="AF92" s="1">
        <v>2.4712000000000001</v>
      </c>
    </row>
    <row r="93" spans="1:32" x14ac:dyDescent="0.2">
      <c r="A93" s="1">
        <v>75</v>
      </c>
      <c r="B93" s="1">
        <v>1</v>
      </c>
      <c r="C93" s="1">
        <v>25.1</v>
      </c>
      <c r="D93" s="1">
        <v>1</v>
      </c>
      <c r="E93" s="1">
        <v>1.9974000000000001</v>
      </c>
      <c r="F93" s="1">
        <v>0.77329999999999999</v>
      </c>
      <c r="G93" s="1">
        <v>10.4274</v>
      </c>
      <c r="H93" s="1">
        <v>7.8514999999999997</v>
      </c>
      <c r="I93" s="1">
        <v>2.3999999999999998E-3</v>
      </c>
      <c r="J93" s="1">
        <v>2.2513999999999998</v>
      </c>
      <c r="K93" s="1">
        <v>3.5255000000000001</v>
      </c>
      <c r="L93" s="1">
        <v>2.1139999999999999</v>
      </c>
      <c r="M93" s="1">
        <v>-55.2</v>
      </c>
      <c r="N93" s="1">
        <v>1</v>
      </c>
      <c r="O93" s="1">
        <v>2.4508999999999999</v>
      </c>
      <c r="P93" s="1">
        <v>0.89800000000000002</v>
      </c>
      <c r="Q93" s="1">
        <v>10.2986</v>
      </c>
      <c r="R93" s="1">
        <v>9.8477999999999994</v>
      </c>
      <c r="S93" s="1">
        <v>2.3900000000000001E-2</v>
      </c>
      <c r="T93" s="1">
        <v>1.2193000000000001</v>
      </c>
      <c r="U93" s="1">
        <v>2.4935999999999998</v>
      </c>
      <c r="V93" s="1">
        <v>1.9343999999999999</v>
      </c>
      <c r="W93" s="1">
        <v>100.7</v>
      </c>
      <c r="X93" s="1">
        <v>1</v>
      </c>
      <c r="Y93" s="1">
        <v>1.4297</v>
      </c>
      <c r="AA93" s="1">
        <v>10.5562</v>
      </c>
      <c r="AB93" s="1">
        <v>7.9802999999999997</v>
      </c>
      <c r="AC93" s="1">
        <v>2.3400000000000001E-2</v>
      </c>
      <c r="AD93" s="1">
        <v>3.4438</v>
      </c>
      <c r="AE93" s="1">
        <v>4.9089</v>
      </c>
      <c r="AF93" s="1">
        <v>2.3092000000000001</v>
      </c>
    </row>
    <row r="94" spans="1:32" x14ac:dyDescent="0.2">
      <c r="A94" s="1">
        <v>76</v>
      </c>
      <c r="B94" s="1">
        <v>1</v>
      </c>
      <c r="C94" s="1">
        <v>25.1</v>
      </c>
      <c r="D94" s="1">
        <v>1</v>
      </c>
      <c r="E94" s="1">
        <v>2.0118</v>
      </c>
      <c r="F94" s="1">
        <v>0.7722</v>
      </c>
      <c r="G94" s="1">
        <v>10.7494</v>
      </c>
      <c r="H94" s="1">
        <v>10.2986</v>
      </c>
      <c r="I94" s="1">
        <v>2.5999999999999999E-3</v>
      </c>
      <c r="J94" s="1">
        <v>2.2778</v>
      </c>
      <c r="K94" s="1">
        <v>3.6019000000000001</v>
      </c>
      <c r="L94" s="1">
        <v>2.2044999999999999</v>
      </c>
      <c r="M94" s="1">
        <v>-55.2</v>
      </c>
      <c r="N94" s="1">
        <v>1</v>
      </c>
      <c r="O94" s="1">
        <v>2.4651999999999998</v>
      </c>
      <c r="P94" s="1">
        <v>0.89659999999999995</v>
      </c>
      <c r="Q94" s="1">
        <v>10.2986</v>
      </c>
      <c r="R94" s="1">
        <v>9.7834000000000003</v>
      </c>
      <c r="S94" s="1">
        <v>2.4299999999999999E-2</v>
      </c>
      <c r="T94" s="1">
        <v>1.1884999999999999</v>
      </c>
      <c r="U94" s="1">
        <v>2.4474</v>
      </c>
      <c r="V94" s="1">
        <v>2.0223</v>
      </c>
      <c r="W94" s="1">
        <v>100.6</v>
      </c>
      <c r="X94" s="1">
        <v>1</v>
      </c>
      <c r="Y94" s="1">
        <v>1.4474</v>
      </c>
      <c r="AA94" s="1">
        <v>10.6206</v>
      </c>
      <c r="AB94" s="1">
        <v>10.685</v>
      </c>
      <c r="AC94" s="1">
        <v>2.1299999999999999E-2</v>
      </c>
      <c r="AD94" s="1">
        <v>3.4479000000000002</v>
      </c>
      <c r="AE94" s="1">
        <v>4.8559000000000001</v>
      </c>
      <c r="AF94" s="1">
        <v>2.4020999999999999</v>
      </c>
    </row>
    <row r="95" spans="1:32" x14ac:dyDescent="0.2">
      <c r="A95" s="1">
        <v>77</v>
      </c>
      <c r="B95" s="1">
        <v>1</v>
      </c>
      <c r="C95" s="1">
        <v>25</v>
      </c>
      <c r="D95" s="1">
        <v>1</v>
      </c>
      <c r="E95" s="1">
        <v>1.9963</v>
      </c>
      <c r="F95" s="1">
        <v>0.77629999999999999</v>
      </c>
      <c r="G95" s="1">
        <v>10.041</v>
      </c>
      <c r="H95" s="1">
        <v>8.8173999999999992</v>
      </c>
      <c r="I95" s="1">
        <v>2.5000000000000001E-3</v>
      </c>
      <c r="J95" s="1">
        <v>2.2326999999999999</v>
      </c>
      <c r="K95" s="1">
        <v>3.5192999999999999</v>
      </c>
      <c r="L95" s="1">
        <v>1.9254</v>
      </c>
      <c r="M95" s="1">
        <v>-55.3</v>
      </c>
      <c r="N95" s="1">
        <v>1</v>
      </c>
      <c r="O95" s="1">
        <v>2.4424000000000001</v>
      </c>
      <c r="P95" s="1">
        <v>0.89849999999999997</v>
      </c>
      <c r="Q95" s="1">
        <v>9.2682000000000002</v>
      </c>
      <c r="R95" s="1">
        <v>10.4918</v>
      </c>
      <c r="S95" s="1">
        <v>2.29E-2</v>
      </c>
      <c r="T95" s="1">
        <v>1.3407</v>
      </c>
      <c r="U95" s="1">
        <v>2.4163000000000001</v>
      </c>
      <c r="V95" s="1">
        <v>1.7508999999999999</v>
      </c>
      <c r="W95" s="1">
        <v>100.4</v>
      </c>
      <c r="X95" s="1">
        <v>1</v>
      </c>
      <c r="Y95" s="1">
        <v>1.45</v>
      </c>
      <c r="AA95" s="1">
        <v>10.5562</v>
      </c>
      <c r="AB95" s="1">
        <v>8.3666</v>
      </c>
      <c r="AC95" s="1">
        <v>2.24E-2</v>
      </c>
      <c r="AD95" s="1">
        <v>3.3161</v>
      </c>
      <c r="AE95" s="1">
        <v>4.7378</v>
      </c>
      <c r="AF95" s="1">
        <v>2.1055999999999999</v>
      </c>
    </row>
    <row r="96" spans="1:32" x14ac:dyDescent="0.2">
      <c r="A96" s="1">
        <v>78</v>
      </c>
      <c r="B96" s="1">
        <v>1</v>
      </c>
      <c r="C96" s="1">
        <v>25</v>
      </c>
      <c r="D96" s="1">
        <v>1</v>
      </c>
      <c r="E96" s="1">
        <v>1.9769000000000001</v>
      </c>
      <c r="F96" s="1">
        <v>0.77159999999999995</v>
      </c>
      <c r="G96" s="1">
        <v>11.3934</v>
      </c>
      <c r="H96" s="1">
        <v>9.2037999999999993</v>
      </c>
      <c r="I96" s="1">
        <v>2.5000000000000001E-3</v>
      </c>
      <c r="J96" s="1">
        <v>2.2808000000000002</v>
      </c>
      <c r="K96" s="1">
        <v>3.5440999999999998</v>
      </c>
      <c r="L96" s="1">
        <v>2.1493000000000002</v>
      </c>
      <c r="M96" s="1">
        <v>-55.3</v>
      </c>
      <c r="N96" s="1">
        <v>1</v>
      </c>
      <c r="O96" s="1">
        <v>2.4146000000000001</v>
      </c>
      <c r="P96" s="1">
        <v>0.89459999999999995</v>
      </c>
      <c r="Q96" s="1">
        <v>9.3325999999999993</v>
      </c>
      <c r="R96" s="1">
        <v>10.942600000000001</v>
      </c>
      <c r="S96" s="1">
        <v>2.23E-2</v>
      </c>
      <c r="T96" s="1">
        <v>1.2931999999999999</v>
      </c>
      <c r="U96" s="1">
        <v>2.4552</v>
      </c>
      <c r="V96" s="1">
        <v>1.9688000000000001</v>
      </c>
      <c r="W96" s="1">
        <v>100.5</v>
      </c>
      <c r="X96" s="1">
        <v>1</v>
      </c>
      <c r="Y96" s="1">
        <v>1.44</v>
      </c>
      <c r="AA96" s="1">
        <v>11.586600000000001</v>
      </c>
      <c r="AB96" s="1">
        <v>9.3325999999999993</v>
      </c>
      <c r="AC96" s="1">
        <v>2.24E-2</v>
      </c>
      <c r="AD96" s="1">
        <v>3.4681999999999999</v>
      </c>
      <c r="AE96" s="1">
        <v>4.8243</v>
      </c>
      <c r="AF96" s="1">
        <v>2.3399000000000001</v>
      </c>
    </row>
    <row r="97" spans="1:32" x14ac:dyDescent="0.2">
      <c r="A97" s="1">
        <v>79</v>
      </c>
      <c r="B97" s="1">
        <v>1</v>
      </c>
      <c r="C97" s="1">
        <v>25.1</v>
      </c>
      <c r="D97" s="1">
        <v>1</v>
      </c>
      <c r="E97" s="1">
        <v>2.1412</v>
      </c>
      <c r="F97" s="1">
        <v>0.78410000000000002</v>
      </c>
      <c r="G97" s="1">
        <v>0.32519999999999999</v>
      </c>
      <c r="H97" s="1">
        <v>-0.63859999999999995</v>
      </c>
      <c r="I97" s="1">
        <v>1.4E-3</v>
      </c>
      <c r="J97" s="1">
        <v>3.0152999999999999</v>
      </c>
      <c r="K97" s="1">
        <v>3.5497999999999998</v>
      </c>
      <c r="L97" s="1">
        <v>1.8119000000000001</v>
      </c>
      <c r="M97" s="1">
        <v>-55.3</v>
      </c>
      <c r="N97" s="1">
        <v>1</v>
      </c>
      <c r="O97" s="1">
        <v>2.3010000000000002</v>
      </c>
      <c r="P97" s="1">
        <v>0.90620000000000001</v>
      </c>
      <c r="Q97" s="1">
        <v>0.75580000000000003</v>
      </c>
      <c r="R97" s="1">
        <v>-0.81589999999999996</v>
      </c>
      <c r="S97" s="1">
        <v>1.1999999999999999E-3</v>
      </c>
      <c r="T97" s="1">
        <v>1.0267999999999999</v>
      </c>
      <c r="U97" s="1">
        <v>2.4579</v>
      </c>
      <c r="V97" s="1">
        <v>1.6487000000000001</v>
      </c>
      <c r="W97" s="1">
        <v>100.9</v>
      </c>
      <c r="X97" s="1">
        <v>1</v>
      </c>
      <c r="Y97" s="1">
        <v>1.5547</v>
      </c>
      <c r="AA97" s="1">
        <v>0.48730000000000001</v>
      </c>
      <c r="AB97" s="1">
        <v>-0.59079999999999999</v>
      </c>
      <c r="AC97" s="1">
        <v>0.30620000000000003</v>
      </c>
      <c r="AD97" s="1">
        <v>3.1509</v>
      </c>
      <c r="AE97" s="1">
        <v>4.8243</v>
      </c>
      <c r="AF97" s="1">
        <v>1.9930000000000001</v>
      </c>
    </row>
    <row r="98" spans="1:32" x14ac:dyDescent="0.2">
      <c r="A98" s="1">
        <v>80</v>
      </c>
      <c r="B98" s="1">
        <v>1</v>
      </c>
      <c r="C98" s="1">
        <v>25.1</v>
      </c>
      <c r="D98" s="1">
        <v>1</v>
      </c>
      <c r="E98" s="1">
        <v>1.9836</v>
      </c>
      <c r="F98" s="1">
        <v>0.77410000000000001</v>
      </c>
      <c r="G98" s="1">
        <v>10.2986</v>
      </c>
      <c r="H98" s="1">
        <v>9.9765999999999995</v>
      </c>
      <c r="I98" s="1">
        <v>2.3999999999999998E-3</v>
      </c>
      <c r="J98" s="1">
        <v>2.2147999999999999</v>
      </c>
      <c r="K98" s="1">
        <v>3.5680000000000001</v>
      </c>
      <c r="L98" s="1">
        <v>1.9545999999999999</v>
      </c>
      <c r="M98" s="1">
        <v>-55.1</v>
      </c>
      <c r="N98" s="1">
        <v>1</v>
      </c>
      <c r="O98" s="1">
        <v>2.4342999999999999</v>
      </c>
      <c r="P98" s="1">
        <v>0.89490000000000003</v>
      </c>
      <c r="Q98" s="1">
        <v>11.651</v>
      </c>
      <c r="R98" s="1">
        <v>9.3970000000000002</v>
      </c>
      <c r="S98" s="1">
        <v>2.2700000000000001E-2</v>
      </c>
      <c r="T98" s="1">
        <v>1.2644</v>
      </c>
      <c r="U98" s="1">
        <v>2.4539</v>
      </c>
      <c r="V98" s="1">
        <v>1.7837000000000001</v>
      </c>
      <c r="W98" s="1">
        <v>100.8</v>
      </c>
      <c r="X98" s="1">
        <v>1</v>
      </c>
      <c r="Y98" s="1">
        <v>1.4387000000000001</v>
      </c>
      <c r="AA98" s="1">
        <v>10.942600000000001</v>
      </c>
      <c r="AB98" s="1">
        <v>9.8477999999999994</v>
      </c>
      <c r="AC98" s="1">
        <v>2.1700000000000001E-2</v>
      </c>
      <c r="AD98" s="1">
        <v>3.3062</v>
      </c>
      <c r="AE98" s="1">
        <v>4.7632000000000003</v>
      </c>
      <c r="AF98" s="1">
        <v>2.1337999999999999</v>
      </c>
    </row>
    <row r="99" spans="1:32" x14ac:dyDescent="0.2">
      <c r="A99" s="1">
        <v>81</v>
      </c>
      <c r="B99" s="1">
        <v>1</v>
      </c>
      <c r="C99" s="1">
        <v>25</v>
      </c>
      <c r="D99" s="1">
        <v>1</v>
      </c>
      <c r="E99" s="1">
        <v>2.0520999999999998</v>
      </c>
      <c r="F99" s="1">
        <v>0.77839999999999998</v>
      </c>
      <c r="G99" s="1">
        <v>0.34239999999999998</v>
      </c>
      <c r="H99" s="1">
        <v>-0.49280000000000002</v>
      </c>
      <c r="I99" s="1">
        <v>1.6999999999999999E-3</v>
      </c>
      <c r="J99" s="1">
        <v>3.0590000000000002</v>
      </c>
      <c r="K99" s="1">
        <v>3.4918999999999998</v>
      </c>
      <c r="L99" s="1">
        <v>1.9928999999999999</v>
      </c>
      <c r="M99" s="1">
        <v>-55.4</v>
      </c>
      <c r="N99" s="1">
        <v>1</v>
      </c>
      <c r="O99" s="1">
        <v>2.3008000000000002</v>
      </c>
      <c r="P99" s="1">
        <v>0.90490000000000004</v>
      </c>
      <c r="Q99" s="1">
        <v>0.34760000000000002</v>
      </c>
      <c r="R99" s="1">
        <v>-0.49130000000000001</v>
      </c>
      <c r="S99" s="1">
        <v>1.46E-2</v>
      </c>
      <c r="T99" s="1">
        <v>1.0428999999999999</v>
      </c>
      <c r="U99" s="1">
        <v>2.3822999999999999</v>
      </c>
      <c r="V99" s="1">
        <v>1.8049999999999999</v>
      </c>
      <c r="W99" s="1">
        <v>100.8</v>
      </c>
      <c r="X99" s="1">
        <v>1</v>
      </c>
      <c r="Y99" s="1">
        <v>1.4649000000000001</v>
      </c>
      <c r="AA99" s="1">
        <v>0.55410000000000004</v>
      </c>
      <c r="AB99" s="1">
        <v>-0.6724</v>
      </c>
      <c r="AC99" s="1">
        <v>0.33710000000000001</v>
      </c>
      <c r="AD99" s="1">
        <v>3.2616999999999998</v>
      </c>
      <c r="AE99" s="1">
        <v>4.7747999999999999</v>
      </c>
      <c r="AF99" s="1">
        <v>2.1802000000000001</v>
      </c>
    </row>
    <row r="100" spans="1:32" x14ac:dyDescent="0.2">
      <c r="A100" s="1">
        <v>82</v>
      </c>
      <c r="B100" s="1">
        <v>1</v>
      </c>
      <c r="C100" s="1">
        <v>25.1</v>
      </c>
      <c r="D100" s="1">
        <v>1</v>
      </c>
      <c r="E100" s="1">
        <v>1.9423999999999999</v>
      </c>
      <c r="F100" s="1">
        <v>0.77129999999999999</v>
      </c>
      <c r="G100" s="1">
        <v>11.071400000000001</v>
      </c>
      <c r="H100" s="1">
        <v>9.6546000000000003</v>
      </c>
      <c r="I100" s="1">
        <v>2.7000000000000001E-3</v>
      </c>
      <c r="J100" s="1">
        <v>2.1890999999999998</v>
      </c>
      <c r="K100" s="1">
        <v>3.5024000000000002</v>
      </c>
      <c r="L100" s="1">
        <v>2.1063000000000001</v>
      </c>
      <c r="M100" s="1">
        <v>-55.1</v>
      </c>
      <c r="N100" s="1">
        <v>1</v>
      </c>
      <c r="O100" s="1">
        <v>2.3624999999999998</v>
      </c>
      <c r="P100" s="1">
        <v>0.8931</v>
      </c>
      <c r="Q100" s="1">
        <v>11.071400000000001</v>
      </c>
      <c r="R100" s="1">
        <v>10.2986</v>
      </c>
      <c r="S100" s="1">
        <v>2.3900000000000001E-2</v>
      </c>
      <c r="T100" s="1">
        <v>1.194</v>
      </c>
      <c r="U100" s="1">
        <v>2.4186999999999999</v>
      </c>
      <c r="V100" s="1">
        <v>1.9289000000000001</v>
      </c>
      <c r="W100" s="1">
        <v>100.3</v>
      </c>
      <c r="X100" s="1">
        <v>1</v>
      </c>
      <c r="Y100" s="1">
        <v>1.4249000000000001</v>
      </c>
      <c r="AA100" s="1">
        <v>10.5562</v>
      </c>
      <c r="AB100" s="1">
        <v>10.363</v>
      </c>
      <c r="AC100" s="1">
        <v>2.3400000000000001E-2</v>
      </c>
      <c r="AD100" s="1">
        <v>3.3980999999999999</v>
      </c>
      <c r="AE100" s="1">
        <v>4.7305999999999999</v>
      </c>
      <c r="AF100" s="1">
        <v>2.2902</v>
      </c>
    </row>
    <row r="101" spans="1:32" x14ac:dyDescent="0.2">
      <c r="A101" s="1">
        <v>83</v>
      </c>
      <c r="B101" s="1">
        <v>1</v>
      </c>
      <c r="C101" s="1">
        <v>25.1</v>
      </c>
      <c r="D101" s="1">
        <v>1</v>
      </c>
      <c r="E101" s="1">
        <v>2.0163000000000002</v>
      </c>
      <c r="F101" s="1">
        <v>0.77159999999999995</v>
      </c>
      <c r="G101" s="1">
        <v>9.0749999999999993</v>
      </c>
      <c r="H101" s="1">
        <v>8.4309999999999992</v>
      </c>
      <c r="I101" s="1">
        <v>2.5999999999999999E-3</v>
      </c>
      <c r="J101" s="1">
        <v>2.2856999999999998</v>
      </c>
      <c r="K101" s="1">
        <v>3.5710999999999999</v>
      </c>
      <c r="L101" s="1">
        <v>2.2094999999999998</v>
      </c>
      <c r="M101" s="1">
        <v>-55.2</v>
      </c>
      <c r="N101" s="1">
        <v>1</v>
      </c>
      <c r="O101" s="1">
        <v>2.4672999999999998</v>
      </c>
      <c r="P101" s="1">
        <v>0.8972</v>
      </c>
      <c r="Q101" s="1">
        <v>10.6206</v>
      </c>
      <c r="R101" s="1">
        <v>10.2342</v>
      </c>
      <c r="S101" s="1">
        <v>2.2700000000000001E-2</v>
      </c>
      <c r="T101" s="1">
        <v>1.2548999999999999</v>
      </c>
      <c r="U101" s="1">
        <v>2.4628999999999999</v>
      </c>
      <c r="V101" s="1">
        <v>2.0257999999999998</v>
      </c>
      <c r="W101" s="1">
        <v>100.4</v>
      </c>
      <c r="X101" s="1">
        <v>1</v>
      </c>
      <c r="Y101" s="1">
        <v>1.4441999999999999</v>
      </c>
      <c r="AA101" s="1">
        <v>10.685</v>
      </c>
      <c r="AB101" s="1">
        <v>9.2682000000000002</v>
      </c>
      <c r="AC101" s="1">
        <v>2.23E-2</v>
      </c>
      <c r="AD101" s="1">
        <v>3.3851</v>
      </c>
      <c r="AE101" s="1">
        <v>4.8917000000000002</v>
      </c>
      <c r="AF101" s="1">
        <v>2.4093</v>
      </c>
    </row>
    <row r="102" spans="1:32" x14ac:dyDescent="0.2">
      <c r="A102" s="1">
        <v>84</v>
      </c>
      <c r="B102" s="1">
        <v>1</v>
      </c>
      <c r="C102" s="1">
        <v>25</v>
      </c>
      <c r="D102" s="1">
        <v>1</v>
      </c>
      <c r="E102" s="1">
        <v>1.9841</v>
      </c>
      <c r="F102" s="1">
        <v>0.7732</v>
      </c>
      <c r="G102" s="1">
        <v>10.2342</v>
      </c>
      <c r="H102" s="1">
        <v>8.8173999999999992</v>
      </c>
      <c r="I102" s="1">
        <v>2.3E-3</v>
      </c>
      <c r="J102" s="1">
        <v>2.2339000000000002</v>
      </c>
      <c r="K102" s="1">
        <v>3.5912000000000002</v>
      </c>
      <c r="L102" s="1">
        <v>2.1419000000000001</v>
      </c>
      <c r="M102" s="1">
        <v>-55.1</v>
      </c>
      <c r="N102" s="1">
        <v>1</v>
      </c>
      <c r="O102" s="1">
        <v>2.4216000000000002</v>
      </c>
      <c r="P102" s="1">
        <v>0.89639999999999997</v>
      </c>
      <c r="Q102" s="1">
        <v>10.4274</v>
      </c>
      <c r="R102" s="1">
        <v>12.230600000000001</v>
      </c>
      <c r="S102" s="1">
        <v>2.35E-2</v>
      </c>
      <c r="T102" s="1">
        <v>1.1981999999999999</v>
      </c>
      <c r="U102" s="1">
        <v>2.4636</v>
      </c>
      <c r="V102" s="1">
        <v>1.9619</v>
      </c>
      <c r="W102" s="1">
        <v>100.5</v>
      </c>
      <c r="X102" s="1">
        <v>1</v>
      </c>
      <c r="Y102" s="1">
        <v>1.4378</v>
      </c>
      <c r="AA102" s="1">
        <v>10.4274</v>
      </c>
      <c r="AB102" s="1">
        <v>8.8818000000000001</v>
      </c>
      <c r="AC102" s="1">
        <v>2.1899999999999999E-2</v>
      </c>
      <c r="AD102" s="1">
        <v>3.4245999999999999</v>
      </c>
      <c r="AE102" s="1">
        <v>4.9805999999999999</v>
      </c>
      <c r="AF102" s="1">
        <v>2.3336999999999999</v>
      </c>
    </row>
    <row r="103" spans="1:32" x14ac:dyDescent="0.2">
      <c r="A103" s="1">
        <v>85</v>
      </c>
      <c r="B103" s="1">
        <v>1</v>
      </c>
      <c r="C103" s="1">
        <v>25.1</v>
      </c>
      <c r="D103" s="1">
        <v>1</v>
      </c>
      <c r="E103" s="1">
        <v>2.0482</v>
      </c>
      <c r="F103" s="1">
        <v>0.77690000000000003</v>
      </c>
      <c r="G103" s="1">
        <v>12.1662</v>
      </c>
      <c r="H103" s="1">
        <v>9.3325999999999993</v>
      </c>
      <c r="I103" s="1">
        <v>2.5000000000000001E-3</v>
      </c>
      <c r="J103" s="1">
        <v>2.2581000000000002</v>
      </c>
      <c r="K103" s="1">
        <v>3.6467000000000001</v>
      </c>
      <c r="L103" s="1">
        <v>2.0270999999999999</v>
      </c>
      <c r="M103" s="1">
        <v>-55.4</v>
      </c>
      <c r="N103" s="1">
        <v>1</v>
      </c>
      <c r="O103" s="1">
        <v>2.4981</v>
      </c>
      <c r="P103" s="1">
        <v>0.89790000000000003</v>
      </c>
      <c r="Q103" s="1">
        <v>9.9122000000000003</v>
      </c>
      <c r="R103" s="1">
        <v>11.1358</v>
      </c>
      <c r="S103" s="1">
        <v>2.1700000000000001E-2</v>
      </c>
      <c r="T103" s="1">
        <v>1.2763</v>
      </c>
      <c r="U103" s="1">
        <v>2.5099</v>
      </c>
      <c r="V103" s="1">
        <v>1.8512</v>
      </c>
      <c r="W103" s="1">
        <v>100.7</v>
      </c>
      <c r="X103" s="1">
        <v>1</v>
      </c>
      <c r="Y103" s="1">
        <v>1.4908999999999999</v>
      </c>
      <c r="AA103" s="1">
        <v>9.7834000000000003</v>
      </c>
      <c r="AB103" s="1">
        <v>9.2682000000000002</v>
      </c>
      <c r="AC103" s="1">
        <v>2.2499999999999999E-2</v>
      </c>
      <c r="AD103" s="1">
        <v>3.4361000000000002</v>
      </c>
      <c r="AE103" s="1">
        <v>4.8403</v>
      </c>
      <c r="AF103" s="1">
        <v>2.2124000000000001</v>
      </c>
    </row>
    <row r="104" spans="1:32" x14ac:dyDescent="0.2">
      <c r="A104" s="1">
        <v>86</v>
      </c>
      <c r="B104" s="1">
        <v>1</v>
      </c>
      <c r="C104" s="1">
        <v>25.1</v>
      </c>
      <c r="D104" s="1">
        <v>1</v>
      </c>
      <c r="E104" s="1">
        <v>1.9172</v>
      </c>
      <c r="F104" s="1">
        <v>0.77059999999999995</v>
      </c>
      <c r="G104" s="1">
        <v>10.5562</v>
      </c>
      <c r="H104" s="1">
        <v>11.586600000000001</v>
      </c>
      <c r="I104" s="1">
        <v>2.5999999999999999E-3</v>
      </c>
      <c r="J104" s="1">
        <v>2.2919999999999998</v>
      </c>
      <c r="K104" s="1">
        <v>3.5991</v>
      </c>
      <c r="L104" s="1">
        <v>2.2833000000000001</v>
      </c>
      <c r="M104" s="1">
        <v>-55.2</v>
      </c>
      <c r="N104" s="1">
        <v>1</v>
      </c>
      <c r="O104" s="1">
        <v>2.3534999999999999</v>
      </c>
      <c r="P104" s="1">
        <v>0.89429999999999998</v>
      </c>
      <c r="Q104" s="1">
        <v>10.5562</v>
      </c>
      <c r="R104" s="1">
        <v>10.685</v>
      </c>
      <c r="S104" s="1">
        <v>2.29E-2</v>
      </c>
      <c r="T104" s="1">
        <v>1.3915</v>
      </c>
      <c r="U104" s="1">
        <v>2.4544999999999999</v>
      </c>
      <c r="V104" s="1">
        <v>2.1031</v>
      </c>
      <c r="W104" s="1">
        <v>100.7</v>
      </c>
      <c r="X104" s="1">
        <v>1</v>
      </c>
      <c r="Y104" s="1">
        <v>1.3839999999999999</v>
      </c>
      <c r="AA104" s="1">
        <v>10.942600000000001</v>
      </c>
      <c r="AB104" s="1">
        <v>8.6242000000000001</v>
      </c>
      <c r="AC104" s="1">
        <v>2.23E-2</v>
      </c>
      <c r="AD104" s="1">
        <v>3.4133</v>
      </c>
      <c r="AE104" s="1">
        <v>4.8428000000000004</v>
      </c>
      <c r="AF104" s="1">
        <v>2.4771000000000001</v>
      </c>
    </row>
    <row r="105" spans="1:32" x14ac:dyDescent="0.2">
      <c r="A105" s="1">
        <v>87</v>
      </c>
      <c r="B105" s="1">
        <v>1</v>
      </c>
      <c r="C105" s="1">
        <v>25.1</v>
      </c>
      <c r="D105" s="1">
        <v>1</v>
      </c>
      <c r="E105" s="1">
        <v>2.0358999999999998</v>
      </c>
      <c r="F105" s="1">
        <v>0.77290000000000003</v>
      </c>
      <c r="G105" s="1">
        <v>10.105399999999999</v>
      </c>
      <c r="H105" s="1">
        <v>8.8818000000000001</v>
      </c>
      <c r="I105" s="1">
        <v>2.3999999999999998E-3</v>
      </c>
      <c r="J105" s="1">
        <v>2.2999000000000001</v>
      </c>
      <c r="K105" s="1">
        <v>3.5547</v>
      </c>
      <c r="L105" s="1">
        <v>2.1381000000000001</v>
      </c>
      <c r="M105" s="1">
        <v>-55.2</v>
      </c>
      <c r="N105" s="1">
        <v>1</v>
      </c>
      <c r="O105" s="1">
        <v>2.4931999999999999</v>
      </c>
      <c r="P105" s="1">
        <v>0.89470000000000005</v>
      </c>
      <c r="Q105" s="1">
        <v>10.4274</v>
      </c>
      <c r="R105" s="1">
        <v>8.5597999999999992</v>
      </c>
      <c r="S105" s="1">
        <v>2.3699999999999999E-2</v>
      </c>
      <c r="T105" s="1">
        <v>1.2078</v>
      </c>
      <c r="U105" s="1">
        <v>2.5133999999999999</v>
      </c>
      <c r="V105" s="1">
        <v>1.9602999999999999</v>
      </c>
      <c r="W105" s="1">
        <v>100.7</v>
      </c>
      <c r="X105" s="1">
        <v>1</v>
      </c>
      <c r="Y105" s="1">
        <v>1.4797</v>
      </c>
      <c r="AA105" s="1">
        <v>9.7189999999999994</v>
      </c>
      <c r="AB105" s="1">
        <v>10.1698</v>
      </c>
      <c r="AC105" s="1">
        <v>2.23E-2</v>
      </c>
      <c r="AD105" s="1">
        <v>3.4416000000000002</v>
      </c>
      <c r="AE105" s="1">
        <v>4.7836999999999996</v>
      </c>
      <c r="AF105" s="1">
        <v>2.3281000000000001</v>
      </c>
    </row>
    <row r="106" spans="1:32" x14ac:dyDescent="0.2">
      <c r="A106" s="1">
        <v>88</v>
      </c>
      <c r="B106" s="1">
        <v>1</v>
      </c>
      <c r="C106" s="1">
        <v>25.1</v>
      </c>
      <c r="D106" s="1">
        <v>1</v>
      </c>
      <c r="E106" s="1">
        <v>2.0154999999999998</v>
      </c>
      <c r="F106" s="1">
        <v>0.78380000000000005</v>
      </c>
      <c r="G106" s="1">
        <v>9.9765999999999995</v>
      </c>
      <c r="H106" s="1">
        <v>10.105399999999999</v>
      </c>
      <c r="I106" s="1">
        <v>2.7000000000000001E-3</v>
      </c>
      <c r="J106" s="1">
        <v>2.1884000000000001</v>
      </c>
      <c r="K106" s="1">
        <v>4.0102000000000002</v>
      </c>
      <c r="L106" s="1">
        <v>1.8</v>
      </c>
      <c r="M106" s="1">
        <v>-55.2</v>
      </c>
      <c r="N106" s="1">
        <v>1</v>
      </c>
      <c r="O106" s="1">
        <v>2.4417</v>
      </c>
      <c r="P106" s="1">
        <v>0.90159999999999996</v>
      </c>
      <c r="Q106" s="1">
        <v>11.2646</v>
      </c>
      <c r="R106" s="1">
        <v>8.4954000000000001</v>
      </c>
      <c r="S106" s="1">
        <v>2.2700000000000001E-2</v>
      </c>
      <c r="T106" s="1">
        <v>1.3283</v>
      </c>
      <c r="U106" s="1">
        <v>2.9554</v>
      </c>
      <c r="V106" s="1">
        <v>1.6342000000000001</v>
      </c>
      <c r="W106" s="1">
        <v>100.5</v>
      </c>
      <c r="X106" s="1">
        <v>1</v>
      </c>
      <c r="Y106" s="1">
        <v>1.498</v>
      </c>
      <c r="AA106" s="1">
        <v>12.230600000000001</v>
      </c>
      <c r="AB106" s="1">
        <v>9.4613999999999994</v>
      </c>
      <c r="AC106" s="1">
        <v>2.2499999999999999E-2</v>
      </c>
      <c r="AD106" s="1">
        <v>3.3540000000000001</v>
      </c>
      <c r="AE106" s="1">
        <v>5.1204000000000001</v>
      </c>
      <c r="AF106" s="1">
        <v>1.9722</v>
      </c>
    </row>
    <row r="107" spans="1:32" x14ac:dyDescent="0.2">
      <c r="A107" s="1">
        <v>89</v>
      </c>
      <c r="B107" s="1">
        <v>1</v>
      </c>
      <c r="C107" s="1">
        <v>25</v>
      </c>
      <c r="D107" s="1">
        <v>1</v>
      </c>
      <c r="E107" s="1">
        <v>1.9622999999999999</v>
      </c>
      <c r="F107" s="1">
        <v>0.77459999999999996</v>
      </c>
      <c r="G107" s="1">
        <v>11.586600000000001</v>
      </c>
      <c r="H107" s="1">
        <v>10.041</v>
      </c>
      <c r="I107" s="1">
        <v>2.5000000000000001E-3</v>
      </c>
      <c r="J107" s="1">
        <v>2.3799000000000001</v>
      </c>
      <c r="K107" s="1">
        <v>3.6659000000000002</v>
      </c>
      <c r="L107" s="1">
        <v>2.1267</v>
      </c>
      <c r="M107" s="1">
        <v>-55.3</v>
      </c>
      <c r="N107" s="1">
        <v>1</v>
      </c>
      <c r="O107" s="1">
        <v>2.3881999999999999</v>
      </c>
      <c r="P107" s="1">
        <v>0.89700000000000002</v>
      </c>
      <c r="Q107" s="1">
        <v>10.5562</v>
      </c>
      <c r="R107" s="1">
        <v>10.363</v>
      </c>
      <c r="S107" s="1">
        <v>2.1600000000000001E-2</v>
      </c>
      <c r="T107" s="1">
        <v>1.2941</v>
      </c>
      <c r="U107" s="1">
        <v>2.5167000000000002</v>
      </c>
      <c r="V107" s="1">
        <v>1.9501999999999999</v>
      </c>
      <c r="W107" s="1">
        <v>100.4</v>
      </c>
      <c r="X107" s="1">
        <v>1</v>
      </c>
      <c r="Y107" s="1">
        <v>1.4288000000000001</v>
      </c>
      <c r="AA107" s="1">
        <v>11.2646</v>
      </c>
      <c r="AB107" s="1">
        <v>9.5258000000000003</v>
      </c>
      <c r="AC107" s="1">
        <v>2.2200000000000001E-2</v>
      </c>
      <c r="AD107" s="1">
        <v>3.4064999999999999</v>
      </c>
      <c r="AE107" s="1">
        <v>4.9055</v>
      </c>
      <c r="AF107" s="1">
        <v>2.3176999999999999</v>
      </c>
    </row>
    <row r="108" spans="1:32" x14ac:dyDescent="0.2">
      <c r="A108" s="1">
        <v>90</v>
      </c>
      <c r="B108" s="1">
        <v>1</v>
      </c>
      <c r="C108" s="1">
        <v>25</v>
      </c>
      <c r="D108" s="1">
        <v>1</v>
      </c>
      <c r="E108" s="1">
        <v>2.2155</v>
      </c>
      <c r="F108" s="1">
        <v>0.78400000000000003</v>
      </c>
      <c r="G108" s="1">
        <v>0.31409999999999999</v>
      </c>
      <c r="H108" s="1">
        <v>-0.59360000000000002</v>
      </c>
      <c r="I108" s="1">
        <v>1.6000000000000001E-3</v>
      </c>
      <c r="J108" s="1">
        <v>3.0486</v>
      </c>
      <c r="K108" s="1">
        <v>3.5697000000000001</v>
      </c>
      <c r="L108" s="1">
        <v>1.9453</v>
      </c>
      <c r="M108" s="1">
        <v>-55.3</v>
      </c>
      <c r="N108" s="1">
        <v>1</v>
      </c>
      <c r="O108" s="1">
        <v>2.3006000000000002</v>
      </c>
      <c r="P108" s="1">
        <v>0.90339999999999998</v>
      </c>
      <c r="Q108" s="1">
        <v>10.4618</v>
      </c>
      <c r="R108" s="1">
        <v>-7.3120000000000003</v>
      </c>
      <c r="S108" s="1">
        <v>4.4000000000000003E-3</v>
      </c>
      <c r="T108" s="1">
        <v>1.161</v>
      </c>
      <c r="U108" s="1">
        <v>2.5592999999999999</v>
      </c>
      <c r="V108" s="1">
        <v>1.7802</v>
      </c>
      <c r="W108" s="1">
        <v>100.4</v>
      </c>
      <c r="X108" s="1">
        <v>1</v>
      </c>
      <c r="Y108" s="1">
        <v>1.6235999999999999</v>
      </c>
      <c r="AA108" s="1">
        <v>0.49719999999999998</v>
      </c>
      <c r="AB108" s="1">
        <v>-0.60440000000000005</v>
      </c>
      <c r="AC108" s="1">
        <v>0.21590000000000001</v>
      </c>
      <c r="AD108" s="1">
        <v>3.1884999999999999</v>
      </c>
      <c r="AE108" s="1">
        <v>4.8212999999999999</v>
      </c>
      <c r="AF108" s="1">
        <v>2.1221000000000001</v>
      </c>
    </row>
    <row r="109" spans="1:32" x14ac:dyDescent="0.2">
      <c r="A109" s="1">
        <v>91</v>
      </c>
      <c r="B109" s="1">
        <v>1</v>
      </c>
      <c r="C109" s="1">
        <v>25</v>
      </c>
      <c r="D109" s="1">
        <v>1</v>
      </c>
      <c r="E109" s="1">
        <v>1.9138999999999999</v>
      </c>
      <c r="F109" s="1">
        <v>0.77</v>
      </c>
      <c r="G109" s="1">
        <v>11.9086</v>
      </c>
      <c r="H109" s="1">
        <v>8.6885999999999992</v>
      </c>
      <c r="I109" s="1">
        <v>2.8E-3</v>
      </c>
      <c r="J109" s="1">
        <v>2.2898000000000001</v>
      </c>
      <c r="K109" s="1">
        <v>3.5436999999999999</v>
      </c>
      <c r="L109" s="1">
        <v>2.2793000000000001</v>
      </c>
      <c r="M109" s="1">
        <v>-55.2</v>
      </c>
      <c r="N109" s="1">
        <v>1</v>
      </c>
      <c r="O109" s="1">
        <v>2.3578999999999999</v>
      </c>
      <c r="P109" s="1">
        <v>0.89359999999999995</v>
      </c>
      <c r="Q109" s="1">
        <v>10.1698</v>
      </c>
      <c r="R109" s="1">
        <v>11.071400000000001</v>
      </c>
      <c r="S109" s="1">
        <v>2.2800000000000001E-2</v>
      </c>
      <c r="T109" s="1">
        <v>1.254</v>
      </c>
      <c r="U109" s="1">
        <v>2.4657</v>
      </c>
      <c r="V109" s="1">
        <v>2.0994000000000002</v>
      </c>
      <c r="W109" s="1">
        <v>100.8</v>
      </c>
      <c r="X109" s="1">
        <v>1</v>
      </c>
      <c r="Y109" s="1">
        <v>1.3749</v>
      </c>
      <c r="AA109" s="1">
        <v>11.071400000000001</v>
      </c>
      <c r="AB109" s="1">
        <v>9.3325999999999993</v>
      </c>
      <c r="AC109" s="1">
        <v>2.23E-2</v>
      </c>
      <c r="AD109" s="1">
        <v>3.3288000000000002</v>
      </c>
      <c r="AE109" s="1">
        <v>4.8499999999999996</v>
      </c>
      <c r="AF109" s="1">
        <v>2.4727999999999999</v>
      </c>
    </row>
    <row r="110" spans="1:32" x14ac:dyDescent="0.2">
      <c r="A110" s="1">
        <v>92</v>
      </c>
      <c r="B110" s="1">
        <v>1</v>
      </c>
      <c r="C110" s="1">
        <v>25</v>
      </c>
      <c r="D110" s="1">
        <v>1</v>
      </c>
      <c r="E110" s="1">
        <v>1.9923999999999999</v>
      </c>
      <c r="F110" s="1">
        <v>0.77370000000000005</v>
      </c>
      <c r="G110" s="1">
        <v>10.6206</v>
      </c>
      <c r="H110" s="1">
        <v>10.4918</v>
      </c>
      <c r="I110" s="1">
        <v>2.5999999999999999E-3</v>
      </c>
      <c r="J110" s="1">
        <v>2.1821000000000002</v>
      </c>
      <c r="K110" s="1">
        <v>3.6242000000000001</v>
      </c>
      <c r="L110" s="1">
        <v>2.0823999999999998</v>
      </c>
      <c r="M110" s="1">
        <v>-55</v>
      </c>
      <c r="N110" s="1">
        <v>1</v>
      </c>
      <c r="O110" s="1">
        <v>2.4146999999999998</v>
      </c>
      <c r="P110" s="1">
        <v>0.89439999999999997</v>
      </c>
      <c r="Q110" s="1">
        <v>10.4274</v>
      </c>
      <c r="R110" s="1">
        <v>8.8173999999999992</v>
      </c>
      <c r="S110" s="1">
        <v>2.4299999999999999E-2</v>
      </c>
      <c r="T110" s="1">
        <v>1.3051999999999999</v>
      </c>
      <c r="U110" s="1">
        <v>2.5261999999999998</v>
      </c>
      <c r="V110" s="1">
        <v>1.9087000000000001</v>
      </c>
      <c r="W110" s="1">
        <v>100.5</v>
      </c>
      <c r="X110" s="1">
        <v>1</v>
      </c>
      <c r="Y110" s="1">
        <v>1.4663999999999999</v>
      </c>
      <c r="AA110" s="1">
        <v>9.6546000000000003</v>
      </c>
      <c r="AB110" s="1">
        <v>9.2037999999999993</v>
      </c>
      <c r="AC110" s="1">
        <v>2.41E-2</v>
      </c>
      <c r="AD110" s="1">
        <v>3.4003999999999999</v>
      </c>
      <c r="AE110" s="1">
        <v>4.8505000000000003</v>
      </c>
      <c r="AF110" s="1">
        <v>2.2682000000000002</v>
      </c>
    </row>
    <row r="111" spans="1:32" x14ac:dyDescent="0.2">
      <c r="A111" s="1">
        <v>93</v>
      </c>
      <c r="B111" s="1">
        <v>1</v>
      </c>
      <c r="C111" s="1">
        <v>25</v>
      </c>
      <c r="D111" s="1">
        <v>1</v>
      </c>
      <c r="E111" s="1">
        <v>2.2033</v>
      </c>
      <c r="F111" s="1">
        <v>0.7853</v>
      </c>
      <c r="G111" s="1">
        <v>0.34899999999999998</v>
      </c>
      <c r="H111" s="1">
        <v>-0.41889999999999999</v>
      </c>
      <c r="I111" s="1">
        <v>1.4E-3</v>
      </c>
      <c r="J111" s="1">
        <v>3.0004</v>
      </c>
      <c r="K111" s="1">
        <v>3.5689000000000002</v>
      </c>
      <c r="L111" s="1">
        <v>1.7414000000000001</v>
      </c>
      <c r="M111" s="1">
        <v>-55.2</v>
      </c>
      <c r="N111" s="1">
        <v>1</v>
      </c>
      <c r="O111" s="1">
        <v>2.3010999999999999</v>
      </c>
      <c r="P111" s="1">
        <v>0.90910000000000002</v>
      </c>
      <c r="Q111" s="1">
        <v>0.52310000000000001</v>
      </c>
      <c r="R111" s="1">
        <v>-0.61240000000000006</v>
      </c>
      <c r="S111" s="1">
        <v>1.2999999999999999E-2</v>
      </c>
      <c r="T111" s="1">
        <v>1.0218</v>
      </c>
      <c r="U111" s="1">
        <v>2.5844</v>
      </c>
      <c r="V111" s="1">
        <v>1.5712999999999999</v>
      </c>
      <c r="W111" s="1">
        <v>100.7</v>
      </c>
      <c r="X111" s="1">
        <v>1</v>
      </c>
      <c r="Y111" s="1">
        <v>1.5971</v>
      </c>
      <c r="AA111" s="1">
        <v>0.5655</v>
      </c>
      <c r="AB111" s="1">
        <v>-0.66620000000000001</v>
      </c>
      <c r="AC111" s="1">
        <v>0.3508</v>
      </c>
      <c r="AD111" s="1">
        <v>3.1762000000000001</v>
      </c>
      <c r="AE111" s="1">
        <v>4.9076000000000004</v>
      </c>
      <c r="AF111" s="1">
        <v>1.9180999999999999</v>
      </c>
    </row>
    <row r="112" spans="1:32" x14ac:dyDescent="0.2">
      <c r="A112" s="1">
        <v>94</v>
      </c>
      <c r="B112" s="1">
        <v>1</v>
      </c>
      <c r="C112" s="1">
        <v>25.1</v>
      </c>
      <c r="D112" s="1">
        <v>1</v>
      </c>
      <c r="E112" s="1">
        <v>1.9255</v>
      </c>
      <c r="F112" s="1">
        <v>0.77100000000000002</v>
      </c>
      <c r="G112" s="1">
        <v>9.5258000000000003</v>
      </c>
      <c r="H112" s="1">
        <v>8.3021999999999991</v>
      </c>
      <c r="I112" s="1">
        <v>2.5000000000000001E-3</v>
      </c>
      <c r="J112" s="1">
        <v>2.181</v>
      </c>
      <c r="K112" s="1">
        <v>3.5184000000000002</v>
      </c>
      <c r="L112" s="1">
        <v>2.1518000000000002</v>
      </c>
      <c r="M112" s="1">
        <v>-55</v>
      </c>
      <c r="N112" s="1">
        <v>1</v>
      </c>
      <c r="O112" s="1">
        <v>2.367</v>
      </c>
      <c r="P112" s="1">
        <v>0.89390000000000003</v>
      </c>
      <c r="Q112" s="1">
        <v>10.4918</v>
      </c>
      <c r="R112" s="1">
        <v>8.8173999999999992</v>
      </c>
      <c r="S112" s="1">
        <v>2.3E-2</v>
      </c>
      <c r="T112" s="1">
        <v>1.2136</v>
      </c>
      <c r="U112" s="1">
        <v>2.4222999999999999</v>
      </c>
      <c r="V112" s="1">
        <v>1.9725999999999999</v>
      </c>
      <c r="W112" s="1">
        <v>100.4</v>
      </c>
      <c r="X112" s="1">
        <v>1</v>
      </c>
      <c r="Y112" s="1">
        <v>1.3814</v>
      </c>
      <c r="AA112" s="1">
        <v>10.4274</v>
      </c>
      <c r="AB112" s="1">
        <v>11.071400000000001</v>
      </c>
      <c r="AC112" s="1">
        <v>2.1999999999999999E-2</v>
      </c>
      <c r="AD112" s="1">
        <v>3.4156</v>
      </c>
      <c r="AE112" s="1">
        <v>4.8235000000000001</v>
      </c>
      <c r="AF112" s="1">
        <v>2.3458000000000001</v>
      </c>
    </row>
    <row r="113" spans="1:32" x14ac:dyDescent="0.2">
      <c r="A113" s="1">
        <v>95</v>
      </c>
      <c r="B113" s="1">
        <v>1</v>
      </c>
      <c r="C113" s="1">
        <v>25.1</v>
      </c>
      <c r="D113" s="1">
        <v>1</v>
      </c>
      <c r="E113" s="1">
        <v>2.0211000000000001</v>
      </c>
      <c r="F113" s="1">
        <v>0.77259999999999995</v>
      </c>
      <c r="G113" s="1">
        <v>10.2986</v>
      </c>
      <c r="H113" s="1">
        <v>10.041</v>
      </c>
      <c r="I113" s="1">
        <v>2.7000000000000001E-3</v>
      </c>
      <c r="J113" s="1">
        <v>2.3151000000000002</v>
      </c>
      <c r="K113" s="1">
        <v>3.5539999999999998</v>
      </c>
      <c r="L113" s="1">
        <v>2.1827999999999999</v>
      </c>
      <c r="M113" s="1">
        <v>-55.1</v>
      </c>
      <c r="N113" s="1">
        <v>1</v>
      </c>
      <c r="O113" s="1">
        <v>2.4784000000000002</v>
      </c>
      <c r="P113" s="1">
        <v>0.89529999999999998</v>
      </c>
      <c r="Q113" s="1">
        <v>11.007</v>
      </c>
      <c r="R113" s="1">
        <v>9.4613999999999994</v>
      </c>
      <c r="S113" s="1">
        <v>2.24E-2</v>
      </c>
      <c r="T113" s="1">
        <v>1.1728000000000001</v>
      </c>
      <c r="U113" s="1">
        <v>2.4802</v>
      </c>
      <c r="V113" s="1">
        <v>2.0047000000000001</v>
      </c>
      <c r="W113" s="1">
        <v>100.8</v>
      </c>
      <c r="X113" s="1">
        <v>1</v>
      </c>
      <c r="Y113" s="1">
        <v>1.4663999999999999</v>
      </c>
      <c r="AA113" s="1">
        <v>11.715400000000001</v>
      </c>
      <c r="AB113" s="1">
        <v>9.4613999999999994</v>
      </c>
      <c r="AC113" s="1">
        <v>2.29E-2</v>
      </c>
      <c r="AD113" s="1">
        <v>3.3372999999999999</v>
      </c>
      <c r="AE113" s="1">
        <v>4.7988999999999997</v>
      </c>
      <c r="AF113" s="1">
        <v>2.3757000000000001</v>
      </c>
    </row>
    <row r="114" spans="1:32" x14ac:dyDescent="0.2">
      <c r="A114" s="1">
        <v>96</v>
      </c>
      <c r="B114" s="1">
        <v>1</v>
      </c>
      <c r="C114" s="1">
        <v>25.1</v>
      </c>
      <c r="D114" s="1">
        <v>1</v>
      </c>
      <c r="E114" s="1">
        <v>1.9726999999999999</v>
      </c>
      <c r="F114" s="1">
        <v>0.7762</v>
      </c>
      <c r="G114" s="1">
        <v>10.813800000000001</v>
      </c>
      <c r="H114" s="1">
        <v>9.3970000000000002</v>
      </c>
      <c r="I114" s="1">
        <v>2.5999999999999999E-3</v>
      </c>
      <c r="J114" s="1">
        <v>2.2296</v>
      </c>
      <c r="K114" s="1">
        <v>3.5451999999999999</v>
      </c>
      <c r="L114" s="1">
        <v>1.8703000000000001</v>
      </c>
      <c r="M114" s="1">
        <v>-55.2</v>
      </c>
      <c r="N114" s="1">
        <v>1</v>
      </c>
      <c r="O114" s="1">
        <v>2.3994</v>
      </c>
      <c r="P114" s="1">
        <v>0.89859999999999995</v>
      </c>
      <c r="Q114" s="1">
        <v>10.2342</v>
      </c>
      <c r="R114" s="1">
        <v>9.5258000000000003</v>
      </c>
      <c r="S114" s="1">
        <v>2.2100000000000002E-2</v>
      </c>
      <c r="T114" s="1">
        <v>1.1623000000000001</v>
      </c>
      <c r="U114" s="1">
        <v>2.5066999999999999</v>
      </c>
      <c r="V114" s="1">
        <v>1.6987000000000001</v>
      </c>
      <c r="W114" s="1">
        <v>100.7</v>
      </c>
      <c r="X114" s="1">
        <v>1</v>
      </c>
      <c r="Y114" s="1">
        <v>1.4410000000000001</v>
      </c>
      <c r="AA114" s="1">
        <v>9.5901999999999994</v>
      </c>
      <c r="AB114" s="1">
        <v>10.105399999999999</v>
      </c>
      <c r="AC114" s="1">
        <v>2.3E-2</v>
      </c>
      <c r="AD114" s="1">
        <v>3.2536</v>
      </c>
      <c r="AE114" s="1">
        <v>4.7986000000000004</v>
      </c>
      <c r="AF114" s="1">
        <v>2.0489999999999999</v>
      </c>
    </row>
    <row r="115" spans="1:32" x14ac:dyDescent="0.2">
      <c r="A115" s="1">
        <v>97</v>
      </c>
      <c r="B115" s="1">
        <v>1</v>
      </c>
      <c r="C115" s="1">
        <v>25.1</v>
      </c>
      <c r="D115" s="1">
        <v>1</v>
      </c>
      <c r="E115" s="1">
        <v>1.9493</v>
      </c>
      <c r="F115" s="1">
        <v>0.77310000000000001</v>
      </c>
      <c r="G115" s="1">
        <v>10.5562</v>
      </c>
      <c r="H115" s="1">
        <v>8.8818000000000001</v>
      </c>
      <c r="I115" s="1">
        <v>2.5000000000000001E-3</v>
      </c>
      <c r="J115" s="1">
        <v>2.2267000000000001</v>
      </c>
      <c r="K115" s="1">
        <v>3.5533999999999999</v>
      </c>
      <c r="L115" s="1">
        <v>2.0589</v>
      </c>
      <c r="M115" s="1">
        <v>-55.3</v>
      </c>
      <c r="N115" s="1">
        <v>1</v>
      </c>
      <c r="O115" s="1">
        <v>2.3931</v>
      </c>
      <c r="P115" s="1">
        <v>0.89580000000000004</v>
      </c>
      <c r="Q115" s="1">
        <v>10.685</v>
      </c>
      <c r="R115" s="1">
        <v>9.7834000000000003</v>
      </c>
      <c r="S115" s="1">
        <v>2.1399999999999999E-2</v>
      </c>
      <c r="T115" s="1">
        <v>1.2485999999999999</v>
      </c>
      <c r="U115" s="1">
        <v>2.4811999999999999</v>
      </c>
      <c r="V115" s="1">
        <v>1.8813</v>
      </c>
      <c r="W115" s="1">
        <v>100.7</v>
      </c>
      <c r="X115" s="1">
        <v>1</v>
      </c>
      <c r="Y115" s="1">
        <v>1.4075</v>
      </c>
      <c r="AA115" s="1">
        <v>10.2986</v>
      </c>
      <c r="AB115" s="1">
        <v>10.2986</v>
      </c>
      <c r="AC115" s="1">
        <v>2.2200000000000001E-2</v>
      </c>
      <c r="AD115" s="1">
        <v>3.3422000000000001</v>
      </c>
      <c r="AE115" s="1">
        <v>4.7968000000000002</v>
      </c>
      <c r="AF115" s="1">
        <v>2.2444999999999999</v>
      </c>
    </row>
    <row r="116" spans="1:32" x14ac:dyDescent="0.2">
      <c r="A116" s="1">
        <v>98</v>
      </c>
      <c r="B116" s="1">
        <v>1</v>
      </c>
      <c r="C116" s="1">
        <v>25</v>
      </c>
      <c r="D116" s="1">
        <v>1</v>
      </c>
      <c r="E116" s="1">
        <v>1.9420999999999999</v>
      </c>
      <c r="F116" s="1">
        <v>0.77290000000000003</v>
      </c>
      <c r="G116" s="1">
        <v>11.007</v>
      </c>
      <c r="H116" s="1">
        <v>10.685</v>
      </c>
      <c r="I116" s="1">
        <v>2.3999999999999998E-3</v>
      </c>
      <c r="J116" s="1">
        <v>2.2542</v>
      </c>
      <c r="K116" s="1">
        <v>3.5707</v>
      </c>
      <c r="L116" s="1">
        <v>2.1337999999999999</v>
      </c>
      <c r="M116" s="1">
        <v>-55.2</v>
      </c>
      <c r="N116" s="1">
        <v>1</v>
      </c>
      <c r="O116" s="1">
        <v>2.3658999999999999</v>
      </c>
      <c r="P116" s="1">
        <v>0.89680000000000004</v>
      </c>
      <c r="Q116" s="1">
        <v>10.5562</v>
      </c>
      <c r="R116" s="1">
        <v>10.041</v>
      </c>
      <c r="S116" s="1">
        <v>2.29E-2</v>
      </c>
      <c r="T116" s="1">
        <v>1.2676000000000001</v>
      </c>
      <c r="U116" s="1">
        <v>2.4798</v>
      </c>
      <c r="V116" s="1">
        <v>1.9525999999999999</v>
      </c>
      <c r="W116" s="1">
        <v>100.8</v>
      </c>
      <c r="X116" s="1">
        <v>1</v>
      </c>
      <c r="Y116" s="1">
        <v>1.4107000000000001</v>
      </c>
      <c r="AA116" s="1">
        <v>11.2646</v>
      </c>
      <c r="AB116" s="1">
        <v>9.3325999999999993</v>
      </c>
      <c r="AC116" s="1">
        <v>2.35E-2</v>
      </c>
      <c r="AD116" s="1">
        <v>3.4439000000000002</v>
      </c>
      <c r="AE116" s="1">
        <v>4.8540000000000001</v>
      </c>
      <c r="AF116" s="1">
        <v>2.3275999999999999</v>
      </c>
    </row>
    <row r="117" spans="1:32" x14ac:dyDescent="0.2">
      <c r="A117" s="1">
        <v>99</v>
      </c>
      <c r="B117" s="1">
        <v>1</v>
      </c>
      <c r="C117" s="1">
        <v>25</v>
      </c>
      <c r="D117" s="1">
        <v>1</v>
      </c>
      <c r="E117" s="1">
        <v>2.0137</v>
      </c>
      <c r="F117" s="1">
        <v>0.77580000000000005</v>
      </c>
      <c r="G117" s="1">
        <v>10.1698</v>
      </c>
      <c r="H117" s="1">
        <v>8.6242000000000001</v>
      </c>
      <c r="I117" s="1">
        <v>2.3999999999999998E-3</v>
      </c>
      <c r="J117" s="1">
        <v>2.2158000000000002</v>
      </c>
      <c r="K117" s="1">
        <v>3.6252</v>
      </c>
      <c r="L117" s="1">
        <v>2.0798999999999999</v>
      </c>
      <c r="M117" s="1">
        <v>-55.2</v>
      </c>
      <c r="N117" s="1">
        <v>1</v>
      </c>
      <c r="O117" s="1">
        <v>2.4557000000000002</v>
      </c>
      <c r="P117" s="1">
        <v>0.89749999999999996</v>
      </c>
      <c r="Q117" s="1">
        <v>10.5562</v>
      </c>
      <c r="R117" s="1">
        <v>10.2986</v>
      </c>
      <c r="S117" s="1">
        <v>2.35E-2</v>
      </c>
      <c r="T117" s="1">
        <v>1.2669999999999999</v>
      </c>
      <c r="U117" s="1">
        <v>2.5444</v>
      </c>
      <c r="V117" s="1">
        <v>1.903</v>
      </c>
      <c r="W117" s="1">
        <v>100.5</v>
      </c>
      <c r="X117" s="1">
        <v>1</v>
      </c>
      <c r="Y117" s="1">
        <v>1.4641999999999999</v>
      </c>
      <c r="AA117" s="1">
        <v>12.101800000000001</v>
      </c>
      <c r="AB117" s="1">
        <v>10.1698</v>
      </c>
      <c r="AC117" s="1">
        <v>2.2499999999999999E-2</v>
      </c>
      <c r="AD117" s="1">
        <v>3.4615</v>
      </c>
      <c r="AE117" s="1">
        <v>4.8634000000000004</v>
      </c>
      <c r="AF117" s="1">
        <v>2.2663000000000002</v>
      </c>
    </row>
    <row r="118" spans="1:32" x14ac:dyDescent="0.2">
      <c r="A118" s="1">
        <v>100</v>
      </c>
      <c r="B118" s="1">
        <v>1</v>
      </c>
      <c r="C118" s="1">
        <v>25.1</v>
      </c>
      <c r="D118" s="1">
        <v>1</v>
      </c>
      <c r="E118" s="1">
        <v>2.0219999999999998</v>
      </c>
      <c r="F118" s="1">
        <v>0.78300000000000003</v>
      </c>
      <c r="G118" s="1">
        <v>11.457800000000001</v>
      </c>
      <c r="H118" s="1">
        <v>11.586600000000001</v>
      </c>
      <c r="I118" s="1">
        <v>2.5000000000000001E-3</v>
      </c>
      <c r="J118" s="1">
        <v>2.2332999999999998</v>
      </c>
      <c r="K118" s="1">
        <v>4.2245999999999997</v>
      </c>
      <c r="L118" s="1">
        <v>1.8091999999999999</v>
      </c>
      <c r="M118" s="1">
        <v>-55.2</v>
      </c>
      <c r="N118" s="1">
        <v>1</v>
      </c>
      <c r="O118" s="1">
        <v>2.4476</v>
      </c>
      <c r="P118" s="1">
        <v>0.90239999999999998</v>
      </c>
      <c r="Q118" s="1">
        <v>12.359400000000001</v>
      </c>
      <c r="R118" s="1">
        <v>8.2378</v>
      </c>
      <c r="S118" s="1">
        <v>2.24E-2</v>
      </c>
      <c r="T118" s="1">
        <v>1.3191999999999999</v>
      </c>
      <c r="U118" s="1">
        <v>3.0727000000000002</v>
      </c>
      <c r="V118" s="1">
        <v>1.6411</v>
      </c>
      <c r="W118" s="1">
        <v>100.8</v>
      </c>
      <c r="X118" s="1">
        <v>1</v>
      </c>
      <c r="Y118" s="1">
        <v>1.5024999999999999</v>
      </c>
      <c r="AA118" s="1">
        <v>9.8477999999999994</v>
      </c>
      <c r="AB118" s="1">
        <v>11.071400000000001</v>
      </c>
      <c r="AC118" s="1">
        <v>2.24E-2</v>
      </c>
      <c r="AD118" s="1">
        <v>3.3365999999999998</v>
      </c>
      <c r="AE118" s="1">
        <v>5.4066999999999998</v>
      </c>
      <c r="AF118" s="1">
        <v>1.9851000000000001</v>
      </c>
    </row>
    <row r="119" spans="1:32" x14ac:dyDescent="0.2">
      <c r="A119" s="1">
        <v>101</v>
      </c>
      <c r="B119" s="1">
        <v>1</v>
      </c>
      <c r="C119" s="1">
        <v>25</v>
      </c>
      <c r="D119" s="1">
        <v>1</v>
      </c>
      <c r="E119" s="1">
        <v>2.0064000000000002</v>
      </c>
      <c r="F119" s="1">
        <v>0.77059999999999995</v>
      </c>
      <c r="G119" s="1">
        <v>10.4274</v>
      </c>
      <c r="H119" s="1">
        <v>11.200200000000001</v>
      </c>
      <c r="I119" s="1">
        <v>2.3E-3</v>
      </c>
      <c r="J119" s="1">
        <v>2.2704</v>
      </c>
      <c r="K119" s="1">
        <v>3.6187999999999998</v>
      </c>
      <c r="L119" s="1">
        <v>2.2835999999999999</v>
      </c>
      <c r="M119" s="1">
        <v>-55.1</v>
      </c>
      <c r="N119" s="1">
        <v>1</v>
      </c>
      <c r="O119" s="1">
        <v>2.4561999999999999</v>
      </c>
      <c r="P119" s="1">
        <v>0.89539999999999997</v>
      </c>
      <c r="Q119" s="1">
        <v>11.586600000000001</v>
      </c>
      <c r="R119" s="1">
        <v>9.2037999999999993</v>
      </c>
      <c r="S119" s="1">
        <v>2.2100000000000002E-2</v>
      </c>
      <c r="T119" s="1">
        <v>1.3302</v>
      </c>
      <c r="U119" s="1">
        <v>2.5485000000000002</v>
      </c>
      <c r="V119" s="1">
        <v>2.1000999999999999</v>
      </c>
      <c r="W119" s="1">
        <v>100.3</v>
      </c>
      <c r="X119" s="1">
        <v>1</v>
      </c>
      <c r="Y119" s="1">
        <v>1.4497</v>
      </c>
      <c r="AA119" s="1">
        <v>10.1698</v>
      </c>
      <c r="AB119" s="1">
        <v>10.2342</v>
      </c>
      <c r="AC119" s="1">
        <v>2.12E-2</v>
      </c>
      <c r="AD119" s="1">
        <v>3.4214000000000002</v>
      </c>
      <c r="AE119" s="1">
        <v>4.9428999999999998</v>
      </c>
      <c r="AF119" s="1">
        <v>2.4813000000000001</v>
      </c>
    </row>
    <row r="120" spans="1:32" x14ac:dyDescent="0.2">
      <c r="A120" s="1">
        <v>102</v>
      </c>
      <c r="B120" s="1">
        <v>1</v>
      </c>
      <c r="C120" s="1">
        <v>25.1</v>
      </c>
      <c r="D120" s="1">
        <v>1</v>
      </c>
      <c r="E120" s="1">
        <v>1.9903</v>
      </c>
      <c r="F120" s="1">
        <v>0.77190000000000003</v>
      </c>
      <c r="G120" s="1">
        <v>10.2342</v>
      </c>
      <c r="H120" s="1">
        <v>8.2378</v>
      </c>
      <c r="I120" s="1">
        <v>2.5000000000000001E-3</v>
      </c>
      <c r="J120" s="1">
        <v>2.1480000000000001</v>
      </c>
      <c r="K120" s="1">
        <v>3.569</v>
      </c>
      <c r="L120" s="1">
        <v>2.0819999999999999</v>
      </c>
      <c r="M120" s="1">
        <v>-55.4</v>
      </c>
      <c r="N120" s="1">
        <v>1</v>
      </c>
      <c r="O120" s="1">
        <v>2.4375</v>
      </c>
      <c r="P120" s="1">
        <v>0.89570000000000005</v>
      </c>
      <c r="Q120" s="1">
        <v>8.8818000000000001</v>
      </c>
      <c r="R120" s="1">
        <v>7.9158999999999997</v>
      </c>
      <c r="S120" s="1">
        <v>2.3599999999999999E-2</v>
      </c>
      <c r="T120" s="1">
        <v>1.1746000000000001</v>
      </c>
      <c r="U120" s="1">
        <v>2.4664000000000001</v>
      </c>
      <c r="V120" s="1">
        <v>1.9006000000000001</v>
      </c>
      <c r="W120" s="1">
        <v>100.4</v>
      </c>
      <c r="X120" s="1">
        <v>1</v>
      </c>
      <c r="Y120" s="1">
        <v>1.4361999999999999</v>
      </c>
      <c r="AA120" s="1">
        <v>10.4918</v>
      </c>
      <c r="AB120" s="1">
        <v>10.2986</v>
      </c>
      <c r="AC120" s="1">
        <v>2.3199999999999998E-2</v>
      </c>
      <c r="AD120" s="1">
        <v>3.3801000000000001</v>
      </c>
      <c r="AE120" s="1">
        <v>4.8136999999999999</v>
      </c>
      <c r="AF120" s="1">
        <v>2.2722000000000002</v>
      </c>
    </row>
    <row r="121" spans="1:32" x14ac:dyDescent="0.2">
      <c r="A121" s="1">
        <v>103</v>
      </c>
      <c r="B121" s="1">
        <v>1</v>
      </c>
      <c r="C121" s="1">
        <v>25.1</v>
      </c>
      <c r="D121" s="1">
        <v>1</v>
      </c>
      <c r="E121" s="1">
        <v>1.9429000000000001</v>
      </c>
      <c r="F121" s="1">
        <v>0.77390000000000003</v>
      </c>
      <c r="G121" s="1">
        <v>10.7494</v>
      </c>
      <c r="H121" s="1">
        <v>10.363</v>
      </c>
      <c r="I121" s="1">
        <v>2.3E-3</v>
      </c>
      <c r="J121" s="1">
        <v>2.2441</v>
      </c>
      <c r="K121" s="1">
        <v>3.6303999999999998</v>
      </c>
      <c r="L121" s="1">
        <v>2.1577999999999999</v>
      </c>
      <c r="M121" s="1">
        <v>-55.2</v>
      </c>
      <c r="N121" s="1">
        <v>1</v>
      </c>
      <c r="O121" s="1">
        <v>2.3694999999999999</v>
      </c>
      <c r="P121" s="1">
        <v>0.89670000000000005</v>
      </c>
      <c r="Q121" s="1">
        <v>11.586600000000001</v>
      </c>
      <c r="R121" s="1">
        <v>10.6206</v>
      </c>
      <c r="S121" s="1">
        <v>2.1499999999999998E-2</v>
      </c>
      <c r="T121" s="1">
        <v>1.2578</v>
      </c>
      <c r="U121" s="1">
        <v>2.5558999999999998</v>
      </c>
      <c r="V121" s="1">
        <v>1.9769000000000001</v>
      </c>
      <c r="W121" s="1">
        <v>100.8</v>
      </c>
      <c r="X121" s="1">
        <v>1</v>
      </c>
      <c r="Y121" s="1">
        <v>1.4049</v>
      </c>
      <c r="AA121" s="1">
        <v>11.200200000000001</v>
      </c>
      <c r="AB121" s="1">
        <v>8.8173999999999992</v>
      </c>
      <c r="AC121" s="1">
        <v>2.1999999999999999E-2</v>
      </c>
      <c r="AD121" s="1">
        <v>3.5464000000000002</v>
      </c>
      <c r="AE121" s="1">
        <v>4.9002999999999997</v>
      </c>
      <c r="AF121" s="1">
        <v>2.3496999999999999</v>
      </c>
    </row>
    <row r="122" spans="1:32" x14ac:dyDescent="0.2">
      <c r="A122" s="1">
        <v>104</v>
      </c>
      <c r="B122" s="1">
        <v>1</v>
      </c>
      <c r="C122" s="1">
        <v>25</v>
      </c>
      <c r="D122" s="1">
        <v>1</v>
      </c>
      <c r="E122" s="1">
        <v>2.0796999999999999</v>
      </c>
      <c r="F122" s="1">
        <v>0.7782</v>
      </c>
      <c r="G122" s="1">
        <v>0.3029</v>
      </c>
      <c r="H122" s="1">
        <v>-0.55920000000000003</v>
      </c>
      <c r="I122" s="1">
        <v>1.6999999999999999E-3</v>
      </c>
      <c r="J122" s="1">
        <v>2.9990000000000001</v>
      </c>
      <c r="K122" s="1">
        <v>3.4891999999999999</v>
      </c>
      <c r="L122" s="1">
        <v>1.9366000000000001</v>
      </c>
      <c r="M122" s="1">
        <v>-55.2</v>
      </c>
      <c r="N122" s="1">
        <v>1</v>
      </c>
      <c r="O122" s="1">
        <v>2.3006000000000002</v>
      </c>
      <c r="P122" s="1">
        <v>0.9073</v>
      </c>
      <c r="Q122" s="1">
        <v>2.8956</v>
      </c>
      <c r="R122" s="1">
        <v>-7.0090000000000003</v>
      </c>
      <c r="S122" s="1">
        <v>1.2800000000000001E-2</v>
      </c>
      <c r="T122" s="1">
        <v>1.0364</v>
      </c>
      <c r="U122" s="1">
        <v>2.3203</v>
      </c>
      <c r="V122" s="1">
        <v>1.7799</v>
      </c>
      <c r="W122" s="1">
        <v>100.3</v>
      </c>
      <c r="X122" s="1">
        <v>1</v>
      </c>
      <c r="Y122" s="1">
        <v>1.4784999999999999</v>
      </c>
      <c r="AA122" s="1">
        <v>0.41699999999999998</v>
      </c>
      <c r="AB122" s="1">
        <v>-0.55530000000000002</v>
      </c>
      <c r="AC122" s="1">
        <v>0.42409999999999998</v>
      </c>
      <c r="AD122" s="1">
        <v>3.2124000000000001</v>
      </c>
      <c r="AE122" s="1">
        <v>4.7973999999999997</v>
      </c>
      <c r="AF122" s="1">
        <v>2.1305000000000001</v>
      </c>
    </row>
    <row r="123" spans="1:32" x14ac:dyDescent="0.2">
      <c r="A123" s="1">
        <v>105</v>
      </c>
      <c r="B123" s="1">
        <v>1</v>
      </c>
      <c r="C123" s="1">
        <v>25.1</v>
      </c>
      <c r="D123" s="1">
        <v>1</v>
      </c>
      <c r="E123" s="1">
        <v>1.9903999999999999</v>
      </c>
      <c r="F123" s="1">
        <v>0.77239999999999998</v>
      </c>
      <c r="G123" s="1">
        <v>9.9765999999999995</v>
      </c>
      <c r="H123" s="1">
        <v>8.8818000000000001</v>
      </c>
      <c r="I123" s="1">
        <v>3.0000000000000001E-3</v>
      </c>
      <c r="J123" s="1">
        <v>2.3540999999999999</v>
      </c>
      <c r="K123" s="1">
        <v>3.5834000000000001</v>
      </c>
      <c r="L123" s="1">
        <v>2.1419999999999999</v>
      </c>
      <c r="M123" s="1">
        <v>-55.3</v>
      </c>
      <c r="N123" s="1">
        <v>1</v>
      </c>
      <c r="O123" s="1">
        <v>2.4611000000000001</v>
      </c>
      <c r="P123" s="1">
        <v>0.8982</v>
      </c>
      <c r="Q123" s="1">
        <v>11.1358</v>
      </c>
      <c r="R123" s="1">
        <v>10.813800000000001</v>
      </c>
      <c r="S123" s="1">
        <v>2.29E-2</v>
      </c>
      <c r="T123" s="1">
        <v>1.2843</v>
      </c>
      <c r="U123" s="1">
        <v>2.4129</v>
      </c>
      <c r="V123" s="1">
        <v>1.9594</v>
      </c>
      <c r="W123" s="1">
        <v>100.8</v>
      </c>
      <c r="X123" s="1">
        <v>1</v>
      </c>
      <c r="Y123" s="1">
        <v>1.4061999999999999</v>
      </c>
      <c r="AA123" s="1">
        <v>11.586600000000001</v>
      </c>
      <c r="AB123" s="1">
        <v>10.2986</v>
      </c>
      <c r="AC123" s="1">
        <v>2.3099999999999999E-2</v>
      </c>
      <c r="AD123" s="1">
        <v>3.5304000000000002</v>
      </c>
      <c r="AE123" s="1">
        <v>4.8811</v>
      </c>
      <c r="AF123" s="1">
        <v>2.3405</v>
      </c>
    </row>
    <row r="124" spans="1:32" x14ac:dyDescent="0.2">
      <c r="A124" s="1">
        <v>106</v>
      </c>
      <c r="B124" s="1">
        <v>1</v>
      </c>
      <c r="C124" s="1">
        <v>25</v>
      </c>
      <c r="D124" s="1">
        <v>1</v>
      </c>
      <c r="E124" s="1">
        <v>1.9803999999999999</v>
      </c>
      <c r="F124" s="1">
        <v>0.77190000000000003</v>
      </c>
      <c r="G124" s="1">
        <v>9.3970000000000002</v>
      </c>
      <c r="H124" s="1">
        <v>10.685</v>
      </c>
      <c r="I124" s="1">
        <v>2.5999999999999999E-3</v>
      </c>
      <c r="J124" s="1">
        <v>2.1758000000000002</v>
      </c>
      <c r="K124" s="1">
        <v>3.5602</v>
      </c>
      <c r="L124" s="1">
        <v>2.1465999999999998</v>
      </c>
      <c r="M124" s="1">
        <v>-55.1</v>
      </c>
      <c r="N124" s="1">
        <v>1</v>
      </c>
      <c r="O124" s="1">
        <v>2.4302999999999999</v>
      </c>
      <c r="P124" s="1">
        <v>0.89739999999999998</v>
      </c>
      <c r="Q124" s="1">
        <v>9.9122000000000003</v>
      </c>
      <c r="R124" s="1">
        <v>9.8477999999999994</v>
      </c>
      <c r="S124" s="1">
        <v>2.2200000000000001E-2</v>
      </c>
      <c r="T124" s="1">
        <v>1.2818000000000001</v>
      </c>
      <c r="U124" s="1">
        <v>2.4481000000000002</v>
      </c>
      <c r="V124" s="1">
        <v>1.9646999999999999</v>
      </c>
      <c r="W124" s="1">
        <v>100.6</v>
      </c>
      <c r="X124" s="1">
        <v>1</v>
      </c>
      <c r="Y124" s="1">
        <v>1.4126000000000001</v>
      </c>
      <c r="AA124" s="1">
        <v>10.1698</v>
      </c>
      <c r="AB124" s="1">
        <v>9.5901999999999994</v>
      </c>
      <c r="AC124" s="1">
        <v>2.2200000000000001E-2</v>
      </c>
      <c r="AD124" s="1">
        <v>3.5236999999999998</v>
      </c>
      <c r="AE124" s="1">
        <v>4.8390000000000004</v>
      </c>
      <c r="AF124" s="1">
        <v>2.3460999999999999</v>
      </c>
    </row>
    <row r="125" spans="1:32" x14ac:dyDescent="0.2">
      <c r="A125" s="1">
        <v>107</v>
      </c>
      <c r="B125" s="1">
        <v>1</v>
      </c>
      <c r="C125" s="1">
        <v>25</v>
      </c>
      <c r="D125" s="1">
        <v>1</v>
      </c>
      <c r="E125" s="1">
        <v>2.0926</v>
      </c>
      <c r="F125" s="1">
        <v>0.77990000000000004</v>
      </c>
      <c r="G125" s="1">
        <v>0.3705</v>
      </c>
      <c r="H125" s="1">
        <v>-0.50260000000000005</v>
      </c>
      <c r="I125" s="1">
        <v>1.6000000000000001E-3</v>
      </c>
      <c r="J125" s="1">
        <v>2.9731999999999998</v>
      </c>
      <c r="K125" s="1">
        <v>3.5041000000000002</v>
      </c>
      <c r="L125" s="1">
        <v>1.9749000000000001</v>
      </c>
      <c r="M125" s="1">
        <v>-55.5</v>
      </c>
      <c r="N125" s="1">
        <v>1</v>
      </c>
      <c r="O125" s="1">
        <v>2.3012999999999999</v>
      </c>
      <c r="P125" s="1">
        <v>0.9083</v>
      </c>
      <c r="Q125" s="1">
        <v>0.44700000000000001</v>
      </c>
      <c r="R125" s="1">
        <v>-0.51529999999999998</v>
      </c>
      <c r="S125" s="1">
        <v>1.41E-2</v>
      </c>
      <c r="T125" s="1">
        <v>0.91349999999999998</v>
      </c>
      <c r="U125" s="1">
        <v>2.3431999999999999</v>
      </c>
      <c r="V125" s="1">
        <v>1.7922</v>
      </c>
      <c r="W125" s="1">
        <v>100.6</v>
      </c>
      <c r="X125" s="1">
        <v>1</v>
      </c>
      <c r="Y125" s="1">
        <v>1.4531000000000001</v>
      </c>
      <c r="AA125" s="1">
        <v>0.501</v>
      </c>
      <c r="AB125" s="1">
        <v>-0.62890000000000001</v>
      </c>
      <c r="AC125" s="1">
        <v>0.504</v>
      </c>
      <c r="AD125" s="1">
        <v>3.2601</v>
      </c>
      <c r="AE125" s="1">
        <v>4.8445</v>
      </c>
      <c r="AF125" s="1">
        <v>2.1779000000000002</v>
      </c>
    </row>
    <row r="126" spans="1:32" x14ac:dyDescent="0.2">
      <c r="A126" s="1">
        <v>108</v>
      </c>
      <c r="B126" s="1">
        <v>1</v>
      </c>
      <c r="C126" s="1">
        <v>25.1</v>
      </c>
      <c r="D126" s="1">
        <v>1</v>
      </c>
      <c r="E126" s="1">
        <v>2.0188000000000001</v>
      </c>
      <c r="F126" s="1">
        <v>0.77139999999999997</v>
      </c>
      <c r="G126" s="1">
        <v>11.5222</v>
      </c>
      <c r="H126" s="1">
        <v>9.2037999999999993</v>
      </c>
      <c r="I126" s="1">
        <v>2.7000000000000001E-3</v>
      </c>
      <c r="J126" s="1">
        <v>2.3066</v>
      </c>
      <c r="K126" s="1">
        <v>3.6086</v>
      </c>
      <c r="L126" s="1">
        <v>2.2612999999999999</v>
      </c>
      <c r="M126" s="1">
        <v>-55.1</v>
      </c>
      <c r="N126" s="1">
        <v>1</v>
      </c>
      <c r="O126" s="1">
        <v>2.4777</v>
      </c>
      <c r="P126" s="1">
        <v>0.89410000000000001</v>
      </c>
      <c r="Q126" s="1">
        <v>9.0749999999999993</v>
      </c>
      <c r="R126" s="1">
        <v>9.8477999999999994</v>
      </c>
      <c r="S126" s="1">
        <v>2.1899999999999999E-2</v>
      </c>
      <c r="T126" s="1">
        <v>1.3375999999999999</v>
      </c>
      <c r="U126" s="1">
        <v>2.5163000000000002</v>
      </c>
      <c r="V126" s="1">
        <v>2.0806</v>
      </c>
      <c r="W126" s="1">
        <v>100.5</v>
      </c>
      <c r="X126" s="1">
        <v>1</v>
      </c>
      <c r="Y126" s="1">
        <v>1.4574</v>
      </c>
      <c r="AA126" s="1">
        <v>11.2646</v>
      </c>
      <c r="AB126" s="1">
        <v>8.3021999999999991</v>
      </c>
      <c r="AC126" s="1">
        <v>2.2800000000000001E-2</v>
      </c>
      <c r="AD126" s="1">
        <v>3.4382999999999999</v>
      </c>
      <c r="AE126" s="1">
        <v>4.9432999999999998</v>
      </c>
      <c r="AF126" s="1">
        <v>2.4581</v>
      </c>
    </row>
    <row r="127" spans="1:32" x14ac:dyDescent="0.2">
      <c r="A127" s="1">
        <v>109</v>
      </c>
      <c r="B127" s="1">
        <v>1</v>
      </c>
      <c r="C127" s="1">
        <v>25.2</v>
      </c>
      <c r="D127" s="1">
        <v>1</v>
      </c>
      <c r="E127" s="1">
        <v>1.9978</v>
      </c>
      <c r="F127" s="1">
        <v>0.77700000000000002</v>
      </c>
      <c r="G127" s="1">
        <v>11.329000000000001</v>
      </c>
      <c r="H127" s="1">
        <v>10.5562</v>
      </c>
      <c r="I127" s="1">
        <v>2.5999999999999999E-3</v>
      </c>
      <c r="J127" s="1">
        <v>2.1882999999999999</v>
      </c>
      <c r="K127" s="1">
        <v>3.8336000000000001</v>
      </c>
      <c r="L127" s="1">
        <v>1.9036999999999999</v>
      </c>
      <c r="M127" s="1">
        <v>-55.5</v>
      </c>
      <c r="N127" s="1">
        <v>1</v>
      </c>
      <c r="O127" s="1">
        <v>2.4216000000000002</v>
      </c>
      <c r="P127" s="1">
        <v>0.90080000000000005</v>
      </c>
      <c r="Q127" s="1">
        <v>9.3325999999999993</v>
      </c>
      <c r="R127" s="1">
        <v>11.329000000000001</v>
      </c>
      <c r="S127" s="1">
        <v>2.1399999999999999E-2</v>
      </c>
      <c r="T127" s="1">
        <v>1.1097999999999999</v>
      </c>
      <c r="U127" s="1">
        <v>2.7599</v>
      </c>
      <c r="V127" s="1">
        <v>1.7294</v>
      </c>
      <c r="W127" s="1">
        <v>101</v>
      </c>
      <c r="X127" s="1">
        <v>1</v>
      </c>
      <c r="Y127" s="1">
        <v>1.4693000000000001</v>
      </c>
      <c r="AA127" s="1">
        <v>11.457800000000001</v>
      </c>
      <c r="AB127" s="1">
        <v>9.3970000000000002</v>
      </c>
      <c r="AC127" s="1">
        <v>2.1100000000000001E-2</v>
      </c>
      <c r="AD127" s="1">
        <v>3.3765000000000001</v>
      </c>
      <c r="AE127" s="1">
        <v>5.0316000000000001</v>
      </c>
      <c r="AF127" s="1">
        <v>2.0878000000000001</v>
      </c>
    </row>
    <row r="128" spans="1:32" x14ac:dyDescent="0.2">
      <c r="A128" s="1">
        <v>110</v>
      </c>
      <c r="B128" s="1">
        <v>1</v>
      </c>
      <c r="C128" s="1">
        <v>25.2</v>
      </c>
      <c r="D128" s="1">
        <v>1</v>
      </c>
      <c r="E128" s="1">
        <v>2.0779999999999998</v>
      </c>
      <c r="F128" s="1">
        <v>0.78039999999999998</v>
      </c>
      <c r="G128" s="1">
        <v>0.40379999999999999</v>
      </c>
      <c r="H128" s="1">
        <v>-0.40400000000000003</v>
      </c>
      <c r="I128" s="1">
        <v>1.2999999999999999E-3</v>
      </c>
      <c r="J128" s="1">
        <v>3.1305000000000001</v>
      </c>
      <c r="K128" s="1">
        <v>3.5773999999999999</v>
      </c>
      <c r="L128" s="1">
        <v>2.0013000000000001</v>
      </c>
      <c r="M128" s="1">
        <v>-55.4</v>
      </c>
      <c r="N128" s="1">
        <v>1</v>
      </c>
      <c r="O128" s="1">
        <v>2.3010000000000002</v>
      </c>
      <c r="P128" s="1">
        <v>0.90859999999999996</v>
      </c>
      <c r="Q128" s="1">
        <v>0.3256</v>
      </c>
      <c r="R128" s="1">
        <v>-0.4153</v>
      </c>
      <c r="S128" s="1">
        <v>1.44E-2</v>
      </c>
      <c r="T128" s="1">
        <v>0.8891</v>
      </c>
      <c r="U128" s="1">
        <v>2.4409999999999998</v>
      </c>
      <c r="V128" s="1">
        <v>1.8198000000000001</v>
      </c>
      <c r="W128" s="1">
        <v>100.8</v>
      </c>
      <c r="X128" s="1">
        <v>1</v>
      </c>
      <c r="Y128" s="1">
        <v>1.4739</v>
      </c>
      <c r="AA128" s="1">
        <v>0.30649999999999999</v>
      </c>
      <c r="AB128" s="1">
        <v>-0.42270000000000002</v>
      </c>
      <c r="AC128" s="1">
        <v>0.42959999999999998</v>
      </c>
      <c r="AD128" s="1">
        <v>3.4077999999999999</v>
      </c>
      <c r="AE128" s="1">
        <v>4.9424999999999999</v>
      </c>
      <c r="AF128" s="1">
        <v>2.1962999999999999</v>
      </c>
    </row>
    <row r="129" spans="1:32" x14ac:dyDescent="0.2">
      <c r="A129" s="1">
        <v>111</v>
      </c>
      <c r="B129" s="1">
        <v>1</v>
      </c>
      <c r="C129" s="1">
        <v>25</v>
      </c>
      <c r="D129" s="1">
        <v>1</v>
      </c>
      <c r="E129" s="1">
        <v>2.032</v>
      </c>
      <c r="F129" s="1">
        <v>0.78469999999999995</v>
      </c>
      <c r="G129" s="1">
        <v>10.105399999999999</v>
      </c>
      <c r="H129" s="1">
        <v>9.9122000000000003</v>
      </c>
      <c r="I129" s="1">
        <v>2.5999999999999999E-3</v>
      </c>
      <c r="J129" s="1">
        <v>2.2299000000000002</v>
      </c>
      <c r="K129" s="1">
        <v>4.2336999999999998</v>
      </c>
      <c r="L129" s="1">
        <v>1.7059</v>
      </c>
      <c r="M129" s="1">
        <v>-55.1</v>
      </c>
      <c r="N129" s="1">
        <v>1</v>
      </c>
      <c r="O129" s="1">
        <v>2.4651999999999998</v>
      </c>
      <c r="P129" s="1">
        <v>0.90449999999999997</v>
      </c>
      <c r="Q129" s="1">
        <v>10.8782</v>
      </c>
      <c r="R129" s="1">
        <v>9.6546000000000003</v>
      </c>
      <c r="S129" s="1">
        <v>2.3800000000000002E-2</v>
      </c>
      <c r="T129" s="1">
        <v>1.2169000000000001</v>
      </c>
      <c r="U129" s="1">
        <v>3.0131999999999999</v>
      </c>
      <c r="V129" s="1">
        <v>1.5379</v>
      </c>
      <c r="W129" s="1">
        <v>100.9</v>
      </c>
      <c r="X129" s="1">
        <v>1</v>
      </c>
      <c r="Y129" s="1">
        <v>1.5096000000000001</v>
      </c>
      <c r="AA129" s="1">
        <v>10.5562</v>
      </c>
      <c r="AB129" s="1">
        <v>9.5901999999999994</v>
      </c>
      <c r="AC129" s="1">
        <v>2.2200000000000001E-2</v>
      </c>
      <c r="AD129" s="1">
        <v>3.3696000000000002</v>
      </c>
      <c r="AE129" s="1">
        <v>5.4950999999999999</v>
      </c>
      <c r="AF129" s="1">
        <v>1.8766</v>
      </c>
    </row>
    <row r="130" spans="1:32" x14ac:dyDescent="0.2">
      <c r="A130" s="1">
        <v>112</v>
      </c>
      <c r="B130" s="1">
        <v>1</v>
      </c>
      <c r="C130" s="1">
        <v>25</v>
      </c>
      <c r="D130" s="1">
        <v>1</v>
      </c>
      <c r="E130" s="1">
        <v>2.0165000000000002</v>
      </c>
      <c r="F130" s="1">
        <v>0.77839999999999998</v>
      </c>
      <c r="G130" s="1">
        <v>9.7834000000000003</v>
      </c>
      <c r="H130" s="1">
        <v>11.9086</v>
      </c>
      <c r="I130" s="1">
        <v>2.8E-3</v>
      </c>
      <c r="J130" s="1">
        <v>2.1499000000000001</v>
      </c>
      <c r="K130" s="1">
        <v>3.5790999999999999</v>
      </c>
      <c r="L130" s="1">
        <v>1.8715999999999999</v>
      </c>
      <c r="M130" s="1">
        <v>-55.2</v>
      </c>
      <c r="N130" s="1">
        <v>1</v>
      </c>
      <c r="O130" s="1">
        <v>2.4420999999999999</v>
      </c>
      <c r="P130" s="1">
        <v>0.89580000000000004</v>
      </c>
      <c r="Q130" s="1">
        <v>10.8782</v>
      </c>
      <c r="R130" s="1">
        <v>11.9086</v>
      </c>
      <c r="S130" s="1">
        <v>2.3300000000000001E-2</v>
      </c>
      <c r="T130" s="1">
        <v>1.2843</v>
      </c>
      <c r="U130" s="1">
        <v>2.5228999999999999</v>
      </c>
      <c r="V130" s="1">
        <v>1.7055</v>
      </c>
      <c r="W130" s="1">
        <v>100.7</v>
      </c>
      <c r="X130" s="1">
        <v>1</v>
      </c>
      <c r="Y130" s="1">
        <v>1.5032000000000001</v>
      </c>
      <c r="AA130" s="1">
        <v>11.007</v>
      </c>
      <c r="AB130" s="1">
        <v>11.2646</v>
      </c>
      <c r="AC130" s="1">
        <v>2.1700000000000001E-2</v>
      </c>
      <c r="AD130" s="1">
        <v>3.2902999999999998</v>
      </c>
      <c r="AE130" s="1">
        <v>4.8037000000000001</v>
      </c>
      <c r="AF130" s="1">
        <v>2.0417999999999998</v>
      </c>
    </row>
    <row r="131" spans="1:32" x14ac:dyDescent="0.2">
      <c r="A131" s="1">
        <v>113</v>
      </c>
      <c r="B131" s="1">
        <v>1</v>
      </c>
      <c r="C131" s="1">
        <v>25.1</v>
      </c>
      <c r="D131" s="1">
        <v>1</v>
      </c>
      <c r="E131" s="1">
        <v>1.9641999999999999</v>
      </c>
      <c r="F131" s="1">
        <v>0.77459999999999996</v>
      </c>
      <c r="G131" s="1">
        <v>9.9765999999999995</v>
      </c>
      <c r="H131" s="1">
        <v>10.105399999999999</v>
      </c>
      <c r="I131" s="1">
        <v>2.5999999999999999E-3</v>
      </c>
      <c r="J131" s="1">
        <v>2.3675999999999999</v>
      </c>
      <c r="K131" s="1">
        <v>3.6657999999999999</v>
      </c>
      <c r="L131" s="1">
        <v>2.0663999999999998</v>
      </c>
      <c r="M131" s="1">
        <v>-55.4</v>
      </c>
      <c r="N131" s="1">
        <v>1</v>
      </c>
      <c r="O131" s="1">
        <v>2.3959999999999999</v>
      </c>
      <c r="P131" s="1">
        <v>0.90149999999999997</v>
      </c>
      <c r="Q131" s="1">
        <v>9.3970000000000002</v>
      </c>
      <c r="R131" s="1">
        <v>9.9765999999999995</v>
      </c>
      <c r="S131" s="1">
        <v>2.1700000000000001E-2</v>
      </c>
      <c r="T131" s="1">
        <v>1.2298</v>
      </c>
      <c r="U131" s="1">
        <v>2.5310000000000001</v>
      </c>
      <c r="V131" s="1">
        <v>1.8833</v>
      </c>
      <c r="W131" s="1">
        <v>100.6</v>
      </c>
      <c r="X131" s="1">
        <v>1</v>
      </c>
      <c r="Y131" s="1">
        <v>1.411</v>
      </c>
      <c r="AA131" s="1">
        <v>10.2986</v>
      </c>
      <c r="AB131" s="1">
        <v>11.9086</v>
      </c>
      <c r="AC131" s="1">
        <v>2.23E-2</v>
      </c>
      <c r="AD131" s="1">
        <v>3.4222999999999999</v>
      </c>
      <c r="AE131" s="1">
        <v>4.9371</v>
      </c>
      <c r="AF131" s="1">
        <v>2.2625000000000002</v>
      </c>
    </row>
    <row r="132" spans="1:32" x14ac:dyDescent="0.2">
      <c r="A132" s="1">
        <v>114</v>
      </c>
      <c r="B132" s="1">
        <v>1</v>
      </c>
      <c r="C132" s="1">
        <v>25.1</v>
      </c>
      <c r="D132" s="1">
        <v>1</v>
      </c>
      <c r="E132" s="1">
        <v>1.9991000000000001</v>
      </c>
      <c r="F132" s="1">
        <v>0.77690000000000003</v>
      </c>
      <c r="G132" s="1">
        <v>9.0106000000000002</v>
      </c>
      <c r="H132" s="1">
        <v>8.8173999999999992</v>
      </c>
      <c r="I132" s="1">
        <v>2.8E-3</v>
      </c>
      <c r="J132" s="1">
        <v>2.3195000000000001</v>
      </c>
      <c r="K132" s="1">
        <v>3.7099000000000002</v>
      </c>
      <c r="L132" s="1">
        <v>1.9083000000000001</v>
      </c>
      <c r="M132" s="1">
        <v>-55.3</v>
      </c>
      <c r="N132" s="1">
        <v>1</v>
      </c>
      <c r="O132" s="1">
        <v>2.4403999999999999</v>
      </c>
      <c r="P132" s="1">
        <v>0.90239999999999998</v>
      </c>
      <c r="Q132" s="1">
        <v>8.9461999999999993</v>
      </c>
      <c r="R132" s="1">
        <v>9.8477999999999994</v>
      </c>
      <c r="S132" s="1">
        <v>2.1600000000000001E-2</v>
      </c>
      <c r="T132" s="1">
        <v>1.1937</v>
      </c>
      <c r="U132" s="1">
        <v>2.5152000000000001</v>
      </c>
      <c r="V132" s="1">
        <v>1.7298</v>
      </c>
      <c r="W132" s="1">
        <v>100.7</v>
      </c>
      <c r="X132" s="1">
        <v>1</v>
      </c>
      <c r="Y132" s="1">
        <v>1.4307000000000001</v>
      </c>
      <c r="AA132" s="1">
        <v>11.5222</v>
      </c>
      <c r="AB132" s="1">
        <v>8.3021999999999991</v>
      </c>
      <c r="AC132" s="1">
        <v>2.2200000000000001E-2</v>
      </c>
      <c r="AD132" s="1">
        <v>3.5045000000000002</v>
      </c>
      <c r="AE132" s="1">
        <v>4.9903000000000004</v>
      </c>
      <c r="AF132" s="1">
        <v>2.0998999999999999</v>
      </c>
    </row>
    <row r="133" spans="1:32" x14ac:dyDescent="0.2">
      <c r="A133" s="1">
        <v>115</v>
      </c>
      <c r="B133" s="1">
        <v>1</v>
      </c>
      <c r="C133" s="1">
        <v>25</v>
      </c>
      <c r="D133" s="1">
        <v>1</v>
      </c>
      <c r="E133" s="1">
        <v>1.9346000000000001</v>
      </c>
      <c r="F133" s="1">
        <v>0.77249999999999996</v>
      </c>
      <c r="G133" s="1">
        <v>11.5222</v>
      </c>
      <c r="H133" s="1">
        <v>9.1394000000000002</v>
      </c>
      <c r="I133" s="1">
        <v>2.5999999999999999E-3</v>
      </c>
      <c r="J133" s="1">
        <v>2.3481000000000001</v>
      </c>
      <c r="K133" s="1">
        <v>3.6067</v>
      </c>
      <c r="L133" s="1">
        <v>2.1589</v>
      </c>
      <c r="M133" s="1">
        <v>-55.3</v>
      </c>
      <c r="N133" s="1">
        <v>1</v>
      </c>
      <c r="O133" s="1">
        <v>2.3778000000000001</v>
      </c>
      <c r="P133" s="1">
        <v>0.89759999999999995</v>
      </c>
      <c r="Q133" s="1">
        <v>10.813800000000001</v>
      </c>
      <c r="R133" s="1">
        <v>10.4274</v>
      </c>
      <c r="S133" s="1">
        <v>2.24E-2</v>
      </c>
      <c r="T133" s="1">
        <v>1.3448</v>
      </c>
      <c r="U133" s="1">
        <v>2.4367000000000001</v>
      </c>
      <c r="V133" s="1">
        <v>1.9769000000000001</v>
      </c>
      <c r="W133" s="1">
        <v>100.4</v>
      </c>
      <c r="X133" s="1">
        <v>1</v>
      </c>
      <c r="Y133" s="1">
        <v>1.3701000000000001</v>
      </c>
      <c r="AA133" s="1">
        <v>11.007</v>
      </c>
      <c r="AB133" s="1">
        <v>9.6546000000000003</v>
      </c>
      <c r="AC133" s="1">
        <v>2.1899999999999999E-2</v>
      </c>
      <c r="AD133" s="1">
        <v>3.5708000000000002</v>
      </c>
      <c r="AE133" s="1">
        <v>4.9169</v>
      </c>
      <c r="AF133" s="1">
        <v>2.3565</v>
      </c>
    </row>
    <row r="134" spans="1:32" x14ac:dyDescent="0.2">
      <c r="A134" s="1">
        <v>116</v>
      </c>
      <c r="B134" s="1">
        <v>1</v>
      </c>
      <c r="C134" s="1">
        <v>25</v>
      </c>
      <c r="D134" s="1">
        <v>1</v>
      </c>
      <c r="E134" s="1">
        <v>1.9565999999999999</v>
      </c>
      <c r="F134" s="1">
        <v>0.77359999999999995</v>
      </c>
      <c r="G134" s="1">
        <v>8.8173999999999992</v>
      </c>
      <c r="H134" s="1">
        <v>10.7494</v>
      </c>
      <c r="I134" s="1">
        <v>2.3999999999999998E-3</v>
      </c>
      <c r="J134" s="1">
        <v>2.1353</v>
      </c>
      <c r="K134" s="1">
        <v>3.5375000000000001</v>
      </c>
      <c r="L134" s="1">
        <v>1.9610000000000001</v>
      </c>
      <c r="M134" s="1">
        <v>-55</v>
      </c>
      <c r="N134" s="1">
        <v>1</v>
      </c>
      <c r="O134" s="1">
        <v>2.3986000000000001</v>
      </c>
      <c r="P134" s="1">
        <v>0.89910000000000001</v>
      </c>
      <c r="Q134" s="1">
        <v>9.4613999999999994</v>
      </c>
      <c r="R134" s="1">
        <v>10.363</v>
      </c>
      <c r="S134" s="1">
        <v>2.1399999999999999E-2</v>
      </c>
      <c r="T134" s="1">
        <v>1.3288</v>
      </c>
      <c r="U134" s="1">
        <v>2.4279999999999999</v>
      </c>
      <c r="V134" s="1">
        <v>1.7862</v>
      </c>
      <c r="W134" s="1">
        <v>100.7</v>
      </c>
      <c r="X134" s="1">
        <v>1</v>
      </c>
      <c r="Y134" s="1">
        <v>1.3753</v>
      </c>
      <c r="AA134" s="1">
        <v>9.3325999999999993</v>
      </c>
      <c r="AB134" s="1">
        <v>10.5562</v>
      </c>
      <c r="AC134" s="1">
        <v>2.0400000000000001E-2</v>
      </c>
      <c r="AD134" s="1">
        <v>3.4443000000000001</v>
      </c>
      <c r="AE134" s="1">
        <v>4.8578999999999999</v>
      </c>
      <c r="AF134" s="1">
        <v>2.1576</v>
      </c>
    </row>
    <row r="135" spans="1:32" x14ac:dyDescent="0.2">
      <c r="A135" s="1">
        <v>117</v>
      </c>
      <c r="B135" s="1">
        <v>1</v>
      </c>
      <c r="C135" s="1">
        <v>25.1</v>
      </c>
      <c r="D135" s="1">
        <v>1</v>
      </c>
      <c r="E135" s="1">
        <v>1.9804999999999999</v>
      </c>
      <c r="F135" s="1">
        <v>0.77229999999999999</v>
      </c>
      <c r="G135" s="1">
        <v>10.685</v>
      </c>
      <c r="H135" s="1">
        <v>10.4274</v>
      </c>
      <c r="I135" s="1">
        <v>2.5999999999999999E-3</v>
      </c>
      <c r="J135" s="1">
        <v>2.1943999999999999</v>
      </c>
      <c r="K135" s="1">
        <v>3.5295999999999998</v>
      </c>
      <c r="L135" s="1">
        <v>2.0907</v>
      </c>
      <c r="M135" s="1">
        <v>-55.1</v>
      </c>
      <c r="N135" s="1">
        <v>1</v>
      </c>
      <c r="O135" s="1">
        <v>2.4119000000000002</v>
      </c>
      <c r="P135" s="1">
        <v>0.89559999999999995</v>
      </c>
      <c r="Q135" s="1">
        <v>10.1698</v>
      </c>
      <c r="R135" s="1">
        <v>10.813800000000001</v>
      </c>
      <c r="S135" s="1">
        <v>2.46E-2</v>
      </c>
      <c r="T135" s="1">
        <v>1.2575000000000001</v>
      </c>
      <c r="U135" s="1">
        <v>2.46</v>
      </c>
      <c r="V135" s="1">
        <v>1.9108000000000001</v>
      </c>
      <c r="W135" s="1">
        <v>100.7</v>
      </c>
      <c r="X135" s="1">
        <v>1</v>
      </c>
      <c r="Y135" s="1">
        <v>1.4313</v>
      </c>
      <c r="AA135" s="1">
        <v>10.813800000000001</v>
      </c>
      <c r="AB135" s="1">
        <v>11.1358</v>
      </c>
      <c r="AC135" s="1">
        <v>2.1000000000000001E-2</v>
      </c>
      <c r="AD135" s="1">
        <v>3.3327</v>
      </c>
      <c r="AE135" s="1">
        <v>4.8296999999999999</v>
      </c>
      <c r="AF135" s="1">
        <v>2.2829000000000002</v>
      </c>
    </row>
    <row r="136" spans="1:32" x14ac:dyDescent="0.2">
      <c r="A136" s="1">
        <v>118</v>
      </c>
      <c r="B136" s="1">
        <v>1</v>
      </c>
      <c r="C136" s="1">
        <v>25.1</v>
      </c>
      <c r="D136" s="1">
        <v>1</v>
      </c>
      <c r="E136" s="1">
        <v>1.9890000000000001</v>
      </c>
      <c r="F136" s="1">
        <v>0.77680000000000005</v>
      </c>
      <c r="G136" s="1">
        <v>9.7834000000000003</v>
      </c>
      <c r="H136" s="1">
        <v>8.7530000000000001</v>
      </c>
      <c r="I136" s="1">
        <v>2.2000000000000001E-3</v>
      </c>
      <c r="J136" s="1">
        <v>2.1463999999999999</v>
      </c>
      <c r="K136" s="1">
        <v>3.6038000000000001</v>
      </c>
      <c r="L136" s="1">
        <v>1.8405</v>
      </c>
      <c r="M136" s="1">
        <v>-55.1</v>
      </c>
      <c r="N136" s="1">
        <v>1</v>
      </c>
      <c r="O136" s="1">
        <v>2.4287000000000001</v>
      </c>
      <c r="P136" s="1">
        <v>0.90239999999999998</v>
      </c>
      <c r="Q136" s="1">
        <v>11.007</v>
      </c>
      <c r="R136" s="1">
        <v>8.3021999999999991</v>
      </c>
      <c r="S136" s="1">
        <v>2.2499999999999999E-2</v>
      </c>
      <c r="T136" s="1">
        <v>1.2639</v>
      </c>
      <c r="U136" s="1">
        <v>2.4828999999999999</v>
      </c>
      <c r="V136" s="1">
        <v>1.6664000000000001</v>
      </c>
      <c r="W136" s="1">
        <v>100.9</v>
      </c>
      <c r="X136" s="1">
        <v>1</v>
      </c>
      <c r="Y136" s="1">
        <v>1.4307000000000001</v>
      </c>
      <c r="AA136" s="1">
        <v>11.457800000000001</v>
      </c>
      <c r="AB136" s="1">
        <v>9.2682000000000002</v>
      </c>
      <c r="AC136" s="1">
        <v>2.2700000000000001E-2</v>
      </c>
      <c r="AD136" s="1">
        <v>3.3704000000000001</v>
      </c>
      <c r="AE136" s="1">
        <v>4.8832000000000004</v>
      </c>
      <c r="AF136" s="1">
        <v>2.0240999999999998</v>
      </c>
    </row>
    <row r="137" spans="1:32" x14ac:dyDescent="0.2">
      <c r="A137" s="1">
        <v>119</v>
      </c>
      <c r="B137" s="1">
        <v>1</v>
      </c>
      <c r="C137" s="1">
        <v>25</v>
      </c>
      <c r="D137" s="1">
        <v>1</v>
      </c>
      <c r="E137" s="1">
        <v>2.0167999999999999</v>
      </c>
      <c r="F137" s="1">
        <v>0.77459999999999996</v>
      </c>
      <c r="G137" s="1">
        <v>10.041</v>
      </c>
      <c r="H137" s="1">
        <v>11.844200000000001</v>
      </c>
      <c r="I137" s="1">
        <v>2.3E-3</v>
      </c>
      <c r="J137" s="1">
        <v>2.2235</v>
      </c>
      <c r="K137" s="1">
        <v>3.5636999999999999</v>
      </c>
      <c r="L137" s="1">
        <v>2.0878000000000001</v>
      </c>
      <c r="M137" s="1">
        <v>-55.2</v>
      </c>
      <c r="N137" s="1">
        <v>1</v>
      </c>
      <c r="O137" s="1">
        <v>2.4935</v>
      </c>
      <c r="P137" s="1">
        <v>0.89970000000000006</v>
      </c>
      <c r="Q137" s="1">
        <v>11.200200000000001</v>
      </c>
      <c r="R137" s="1">
        <v>10.685</v>
      </c>
      <c r="S137" s="1">
        <v>2.2800000000000001E-2</v>
      </c>
      <c r="T137" s="1">
        <v>1.2016</v>
      </c>
      <c r="U137" s="1">
        <v>2.4521999999999999</v>
      </c>
      <c r="V137" s="1">
        <v>1.9049</v>
      </c>
      <c r="W137" s="1">
        <v>100.7</v>
      </c>
      <c r="X137" s="1">
        <v>1</v>
      </c>
      <c r="Y137" s="1">
        <v>1.4246000000000001</v>
      </c>
      <c r="AA137" s="1">
        <v>10.685</v>
      </c>
      <c r="AB137" s="1">
        <v>11.586600000000001</v>
      </c>
      <c r="AC137" s="1">
        <v>2.24E-2</v>
      </c>
      <c r="AD137" s="1">
        <v>3.3454999999999999</v>
      </c>
      <c r="AE137" s="1">
        <v>4.8567999999999998</v>
      </c>
      <c r="AF137" s="1">
        <v>2.2854999999999999</v>
      </c>
    </row>
    <row r="138" spans="1:32" x14ac:dyDescent="0.2">
      <c r="A138" s="1">
        <v>120</v>
      </c>
      <c r="B138" s="1">
        <v>1</v>
      </c>
      <c r="C138" s="1">
        <v>25.1</v>
      </c>
      <c r="D138" s="1">
        <v>1</v>
      </c>
      <c r="E138" s="1">
        <v>1.9590000000000001</v>
      </c>
      <c r="F138" s="1">
        <v>0.77600000000000002</v>
      </c>
      <c r="G138" s="1">
        <v>10.5562</v>
      </c>
      <c r="H138" s="1">
        <v>9.8477999999999994</v>
      </c>
      <c r="I138" s="1">
        <v>2.3E-3</v>
      </c>
      <c r="J138" s="1">
        <v>2.2416</v>
      </c>
      <c r="K138" s="1">
        <v>3.7562000000000002</v>
      </c>
      <c r="L138" s="1">
        <v>2.0838000000000001</v>
      </c>
      <c r="M138" s="1">
        <v>-55.3</v>
      </c>
      <c r="N138" s="1">
        <v>1</v>
      </c>
      <c r="O138" s="1">
        <v>2.3887999999999998</v>
      </c>
      <c r="P138" s="1">
        <v>0.9012</v>
      </c>
      <c r="Q138" s="1">
        <v>10.041</v>
      </c>
      <c r="R138" s="1">
        <v>11.1358</v>
      </c>
      <c r="S138" s="1">
        <v>2.35E-2</v>
      </c>
      <c r="T138" s="1">
        <v>1.1749000000000001</v>
      </c>
      <c r="U138" s="1">
        <v>2.5853000000000002</v>
      </c>
      <c r="V138" s="1">
        <v>1.9016999999999999</v>
      </c>
      <c r="W138" s="1">
        <v>100.6</v>
      </c>
      <c r="X138" s="1">
        <v>1</v>
      </c>
      <c r="Y138" s="1">
        <v>1.4188000000000001</v>
      </c>
      <c r="AA138" s="1">
        <v>9.4613999999999994</v>
      </c>
      <c r="AB138" s="1">
        <v>10.363</v>
      </c>
      <c r="AC138" s="1">
        <v>2.2599999999999999E-2</v>
      </c>
      <c r="AD138" s="1">
        <v>3.4668999999999999</v>
      </c>
      <c r="AE138" s="1">
        <v>4.9927999999999999</v>
      </c>
      <c r="AF138" s="1">
        <v>2.2801999999999998</v>
      </c>
    </row>
    <row r="139" spans="1:32" x14ac:dyDescent="0.2">
      <c r="A139" s="1">
        <v>121</v>
      </c>
      <c r="B139" s="1">
        <v>1</v>
      </c>
      <c r="C139" s="1">
        <v>25</v>
      </c>
      <c r="D139" s="1">
        <v>1</v>
      </c>
      <c r="E139" s="1">
        <v>2.0234999999999999</v>
      </c>
      <c r="F139" s="1">
        <v>0.77669999999999995</v>
      </c>
      <c r="G139" s="1">
        <v>10.363</v>
      </c>
      <c r="H139" s="1">
        <v>11.329000000000001</v>
      </c>
      <c r="I139" s="1">
        <v>2.5000000000000001E-3</v>
      </c>
      <c r="J139" s="1">
        <v>2.1785000000000001</v>
      </c>
      <c r="K139" s="1">
        <v>3.6101999999999999</v>
      </c>
      <c r="L139" s="1">
        <v>1.8804000000000001</v>
      </c>
      <c r="M139" s="1">
        <v>-55.3</v>
      </c>
      <c r="N139" s="1">
        <v>1</v>
      </c>
      <c r="O139" s="1">
        <v>2.4704000000000002</v>
      </c>
      <c r="P139" s="1">
        <v>0.90249999999999997</v>
      </c>
      <c r="Q139" s="1">
        <v>9.1394000000000002</v>
      </c>
      <c r="R139" s="1">
        <v>9.8477999999999994</v>
      </c>
      <c r="S139" s="1">
        <v>2.41E-2</v>
      </c>
      <c r="T139" s="1">
        <v>1.1466000000000001</v>
      </c>
      <c r="U139" s="1">
        <v>2.4826999999999999</v>
      </c>
      <c r="V139" s="1">
        <v>1.7028000000000001</v>
      </c>
      <c r="W139" s="1">
        <v>100.8</v>
      </c>
      <c r="X139" s="1">
        <v>1</v>
      </c>
      <c r="Y139" s="1">
        <v>1.4413</v>
      </c>
      <c r="AA139" s="1">
        <v>10.8782</v>
      </c>
      <c r="AB139" s="1">
        <v>7.5294999999999996</v>
      </c>
      <c r="AC139" s="1">
        <v>2.3E-2</v>
      </c>
      <c r="AD139" s="1">
        <v>3.3546999999999998</v>
      </c>
      <c r="AE139" s="1">
        <v>4.9314</v>
      </c>
      <c r="AF139" s="1">
        <v>2.0705</v>
      </c>
    </row>
    <row r="140" spans="1:32" x14ac:dyDescent="0.2">
      <c r="A140" s="1">
        <v>122</v>
      </c>
      <c r="B140" s="1">
        <v>1</v>
      </c>
      <c r="C140" s="1">
        <v>25.1</v>
      </c>
      <c r="D140" s="1">
        <v>1</v>
      </c>
      <c r="E140" s="1">
        <v>2.0243000000000002</v>
      </c>
      <c r="F140" s="1">
        <v>0.7782</v>
      </c>
      <c r="G140" s="1">
        <v>10.363</v>
      </c>
      <c r="H140" s="1">
        <v>11.329000000000001</v>
      </c>
      <c r="I140" s="1">
        <v>2.8999999999999998E-3</v>
      </c>
      <c r="J140" s="1">
        <v>2.2214999999999998</v>
      </c>
      <c r="K140" s="1">
        <v>3.6522000000000001</v>
      </c>
      <c r="L140" s="1">
        <v>1.9025000000000001</v>
      </c>
      <c r="M140" s="1">
        <v>-55.2</v>
      </c>
      <c r="N140" s="1">
        <v>1</v>
      </c>
      <c r="O140" s="1">
        <v>2.4693999999999998</v>
      </c>
      <c r="P140" s="1">
        <v>0.9032</v>
      </c>
      <c r="Q140" s="1">
        <v>10.105399999999999</v>
      </c>
      <c r="R140" s="1">
        <v>10.7494</v>
      </c>
      <c r="S140" s="1">
        <v>2.1499999999999998E-2</v>
      </c>
      <c r="T140" s="1">
        <v>1.2028000000000001</v>
      </c>
      <c r="U140" s="1">
        <v>2.5666000000000002</v>
      </c>
      <c r="V140" s="1">
        <v>1.7256</v>
      </c>
      <c r="W140" s="1">
        <v>100.9</v>
      </c>
      <c r="X140" s="1">
        <v>1</v>
      </c>
      <c r="Y140" s="1">
        <v>1.4460999999999999</v>
      </c>
      <c r="AA140" s="1">
        <v>11.1358</v>
      </c>
      <c r="AB140" s="1">
        <v>11.329000000000001</v>
      </c>
      <c r="AC140" s="1">
        <v>2.07E-2</v>
      </c>
      <c r="AD140" s="1">
        <v>3.3816999999999999</v>
      </c>
      <c r="AE140" s="1">
        <v>4.9724000000000004</v>
      </c>
      <c r="AF140" s="1">
        <v>2.0933999999999999</v>
      </c>
    </row>
    <row r="141" spans="1:32" x14ac:dyDescent="0.2">
      <c r="A141" s="1">
        <v>123</v>
      </c>
      <c r="B141" s="1">
        <v>1</v>
      </c>
      <c r="C141" s="1">
        <v>25.1</v>
      </c>
      <c r="D141" s="1">
        <v>1</v>
      </c>
      <c r="E141" s="1">
        <v>1.9331</v>
      </c>
      <c r="F141" s="1">
        <v>0.76980000000000004</v>
      </c>
      <c r="G141" s="1">
        <v>11.007</v>
      </c>
      <c r="H141" s="1">
        <v>10.6206</v>
      </c>
      <c r="I141" s="1">
        <v>2.5999999999999999E-3</v>
      </c>
      <c r="J141" s="1">
        <v>2.3228</v>
      </c>
      <c r="K141" s="1">
        <v>3.6305999999999998</v>
      </c>
      <c r="L141" s="1">
        <v>2.3317000000000001</v>
      </c>
      <c r="M141" s="1">
        <v>-55.3</v>
      </c>
      <c r="N141" s="1">
        <v>1</v>
      </c>
      <c r="O141" s="1">
        <v>2.3778000000000001</v>
      </c>
      <c r="P141" s="1">
        <v>0.89639999999999997</v>
      </c>
      <c r="Q141" s="1">
        <v>12.1662</v>
      </c>
      <c r="R141" s="1">
        <v>9.3325999999999993</v>
      </c>
      <c r="S141" s="1">
        <v>2.2599999999999999E-2</v>
      </c>
      <c r="T141" s="1">
        <v>1.2135</v>
      </c>
      <c r="U141" s="1">
        <v>2.4807000000000001</v>
      </c>
      <c r="V141" s="1">
        <v>2.1461000000000001</v>
      </c>
      <c r="W141" s="1">
        <v>100.9</v>
      </c>
      <c r="X141" s="1">
        <v>1</v>
      </c>
      <c r="Y141" s="1">
        <v>1.373</v>
      </c>
      <c r="AA141" s="1">
        <v>12.6814</v>
      </c>
      <c r="AB141" s="1">
        <v>10.363</v>
      </c>
      <c r="AC141" s="1">
        <v>2.3599999999999999E-2</v>
      </c>
      <c r="AD141" s="1">
        <v>3.6263000000000001</v>
      </c>
      <c r="AE141" s="1">
        <v>4.8929999999999998</v>
      </c>
      <c r="AF141" s="1">
        <v>2.5352999999999999</v>
      </c>
    </row>
    <row r="142" spans="1:32" x14ac:dyDescent="0.2">
      <c r="A142" s="1">
        <v>124</v>
      </c>
      <c r="B142" s="1">
        <v>1</v>
      </c>
      <c r="C142" s="1">
        <v>25.1</v>
      </c>
      <c r="D142" s="1">
        <v>1</v>
      </c>
      <c r="E142" s="1">
        <v>2.0546000000000002</v>
      </c>
      <c r="F142" s="1">
        <v>0.77749999999999997</v>
      </c>
      <c r="G142" s="1">
        <v>0.29670000000000002</v>
      </c>
      <c r="H142" s="1">
        <v>-0.49320000000000003</v>
      </c>
      <c r="I142" s="1">
        <v>1.6000000000000001E-3</v>
      </c>
      <c r="J142" s="1">
        <v>3.0457000000000001</v>
      </c>
      <c r="K142" s="1">
        <v>3.4826999999999999</v>
      </c>
      <c r="L142" s="1">
        <v>2.0884</v>
      </c>
      <c r="M142" s="1">
        <v>-55</v>
      </c>
      <c r="N142" s="1">
        <v>1</v>
      </c>
      <c r="O142" s="1">
        <v>2.3010000000000002</v>
      </c>
      <c r="P142" s="1">
        <v>0.90139999999999998</v>
      </c>
      <c r="Q142" s="1">
        <v>0.4178</v>
      </c>
      <c r="R142" s="1">
        <v>-0.48270000000000002</v>
      </c>
      <c r="S142" s="1">
        <v>1.26E-2</v>
      </c>
      <c r="T142" s="1">
        <v>1.0478000000000001</v>
      </c>
      <c r="U142" s="1">
        <v>2.3239999999999998</v>
      </c>
      <c r="V142" s="1">
        <v>1.9069</v>
      </c>
      <c r="W142" s="1">
        <v>100.7</v>
      </c>
      <c r="X142" s="1">
        <v>1</v>
      </c>
      <c r="Y142" s="1">
        <v>1.4815</v>
      </c>
      <c r="AA142" s="1">
        <v>0.48070000000000002</v>
      </c>
      <c r="AB142" s="1">
        <v>-0.56459999999999999</v>
      </c>
      <c r="AC142" s="1">
        <v>0.34060000000000001</v>
      </c>
      <c r="AD142" s="1">
        <v>3.3138000000000001</v>
      </c>
      <c r="AE142" s="1">
        <v>4.8592000000000004</v>
      </c>
      <c r="AF142" s="1">
        <v>2.2803</v>
      </c>
    </row>
    <row r="143" spans="1:32" x14ac:dyDescent="0.2">
      <c r="A143" s="1">
        <v>125</v>
      </c>
      <c r="B143" s="1">
        <v>1</v>
      </c>
      <c r="C143" s="1">
        <v>25</v>
      </c>
      <c r="D143" s="1">
        <v>1</v>
      </c>
      <c r="E143" s="1">
        <v>2.1692</v>
      </c>
      <c r="F143" s="1">
        <v>0.78190000000000004</v>
      </c>
      <c r="G143" s="1">
        <v>0.30299999999999999</v>
      </c>
      <c r="H143" s="1">
        <v>-0.4466</v>
      </c>
      <c r="I143" s="1">
        <v>1.5E-3</v>
      </c>
      <c r="J143" s="1">
        <v>3.0714999999999999</v>
      </c>
      <c r="K143" s="1">
        <v>3.6326000000000001</v>
      </c>
      <c r="L143" s="1">
        <v>1.9893000000000001</v>
      </c>
      <c r="M143" s="1">
        <v>-55.6</v>
      </c>
      <c r="N143" s="1">
        <v>1</v>
      </c>
      <c r="O143" s="1">
        <v>2.3012999999999999</v>
      </c>
      <c r="P143" s="1">
        <v>0.90890000000000004</v>
      </c>
      <c r="Q143" s="1">
        <v>0.41</v>
      </c>
      <c r="R143" s="1">
        <v>-0.47989999999999999</v>
      </c>
      <c r="S143" s="1">
        <v>1.4999999999999999E-2</v>
      </c>
      <c r="T143" s="1">
        <v>0.89839999999999998</v>
      </c>
      <c r="U143" s="1">
        <v>2.4693000000000001</v>
      </c>
      <c r="V143" s="1">
        <v>1.8065</v>
      </c>
      <c r="W143" s="1">
        <v>100.6</v>
      </c>
      <c r="X143" s="1">
        <v>1</v>
      </c>
      <c r="Y143" s="1">
        <v>1.5286</v>
      </c>
      <c r="AA143" s="1">
        <v>0.29720000000000002</v>
      </c>
      <c r="AB143" s="1">
        <v>-0.37109999999999999</v>
      </c>
      <c r="AC143" s="1">
        <v>0.39910000000000001</v>
      </c>
      <c r="AD143" s="1">
        <v>3.2646000000000002</v>
      </c>
      <c r="AE143" s="1">
        <v>4.9542999999999999</v>
      </c>
      <c r="AF143" s="1">
        <v>2.1863000000000001</v>
      </c>
    </row>
    <row r="144" spans="1:32" x14ac:dyDescent="0.2">
      <c r="A144" s="1">
        <v>126</v>
      </c>
      <c r="B144" s="1">
        <v>1</v>
      </c>
      <c r="C144" s="1">
        <v>25.1</v>
      </c>
      <c r="D144" s="1">
        <v>1</v>
      </c>
      <c r="E144" s="1">
        <v>1.9094</v>
      </c>
      <c r="F144" s="1">
        <v>0.77070000000000005</v>
      </c>
      <c r="G144" s="1">
        <v>10.1698</v>
      </c>
      <c r="H144" s="1">
        <v>11.071400000000001</v>
      </c>
      <c r="I144" s="1">
        <v>2.3E-3</v>
      </c>
      <c r="J144" s="1">
        <v>2.1920000000000002</v>
      </c>
      <c r="K144" s="1">
        <v>3.5598999999999998</v>
      </c>
      <c r="L144" s="1">
        <v>2.2787999999999999</v>
      </c>
      <c r="M144" s="1">
        <v>-55</v>
      </c>
      <c r="N144" s="1">
        <v>1</v>
      </c>
      <c r="O144" s="1">
        <v>2.3546</v>
      </c>
      <c r="P144" s="1">
        <v>0.89590000000000003</v>
      </c>
      <c r="Q144" s="1">
        <v>11.586600000000001</v>
      </c>
      <c r="R144" s="1">
        <v>11.2646</v>
      </c>
      <c r="S144" s="1">
        <v>2.2800000000000001E-2</v>
      </c>
      <c r="T144" s="1">
        <v>1.2122999999999999</v>
      </c>
      <c r="U144" s="1">
        <v>2.4365999999999999</v>
      </c>
      <c r="V144" s="1">
        <v>2.0948000000000002</v>
      </c>
      <c r="W144" s="1">
        <v>100.7</v>
      </c>
      <c r="X144" s="1">
        <v>1</v>
      </c>
      <c r="Y144" s="1">
        <v>1.3511</v>
      </c>
      <c r="AA144" s="1">
        <v>10.6206</v>
      </c>
      <c r="AB144" s="1">
        <v>9.5258000000000003</v>
      </c>
      <c r="AC144" s="1">
        <v>2.3E-2</v>
      </c>
      <c r="AD144" s="1">
        <v>3.5339</v>
      </c>
      <c r="AE144" s="1">
        <v>4.8916000000000004</v>
      </c>
      <c r="AF144" s="1">
        <v>2.4802</v>
      </c>
    </row>
    <row r="145" spans="1:32" x14ac:dyDescent="0.2">
      <c r="A145" s="1">
        <v>127</v>
      </c>
      <c r="B145" s="1">
        <v>1</v>
      </c>
      <c r="C145" s="1">
        <v>25.1</v>
      </c>
      <c r="D145" s="1">
        <v>1</v>
      </c>
      <c r="E145" s="1">
        <v>2.016</v>
      </c>
      <c r="F145" s="1">
        <v>0.77149999999999996</v>
      </c>
      <c r="G145" s="1">
        <v>9.5901999999999994</v>
      </c>
      <c r="H145" s="1">
        <v>10.105399999999999</v>
      </c>
      <c r="I145" s="1">
        <v>2.2000000000000001E-3</v>
      </c>
      <c r="J145" s="1">
        <v>2.2206999999999999</v>
      </c>
      <c r="K145" s="1">
        <v>3.5684</v>
      </c>
      <c r="L145" s="1">
        <v>2.2389000000000001</v>
      </c>
      <c r="M145" s="1">
        <v>-55</v>
      </c>
      <c r="N145" s="1">
        <v>1</v>
      </c>
      <c r="O145" s="1">
        <v>2.4714</v>
      </c>
      <c r="P145" s="1">
        <v>0.89529999999999998</v>
      </c>
      <c r="Q145" s="1">
        <v>9.7834000000000003</v>
      </c>
      <c r="R145" s="1">
        <v>10.4918</v>
      </c>
      <c r="S145" s="1">
        <v>2.41E-2</v>
      </c>
      <c r="T145" s="1">
        <v>1.2821</v>
      </c>
      <c r="U145" s="1">
        <v>2.4805000000000001</v>
      </c>
      <c r="V145" s="1">
        <v>2.0585</v>
      </c>
      <c r="W145" s="1">
        <v>100.7</v>
      </c>
      <c r="X145" s="1">
        <v>1</v>
      </c>
      <c r="Y145" s="1">
        <v>1.4494</v>
      </c>
      <c r="AA145" s="1">
        <v>11.007</v>
      </c>
      <c r="AB145" s="1">
        <v>9.5258000000000003</v>
      </c>
      <c r="AC145" s="1">
        <v>2.2599999999999999E-2</v>
      </c>
      <c r="AD145" s="1">
        <v>3.4346999999999999</v>
      </c>
      <c r="AE145" s="1">
        <v>4.8444000000000003</v>
      </c>
      <c r="AF145" s="1">
        <v>2.4394</v>
      </c>
    </row>
    <row r="146" spans="1:32" x14ac:dyDescent="0.2">
      <c r="A146" s="1">
        <v>128</v>
      </c>
      <c r="B146" s="1">
        <v>1</v>
      </c>
      <c r="C146" s="1">
        <v>25.1</v>
      </c>
      <c r="D146" s="1">
        <v>1</v>
      </c>
      <c r="E146" s="1">
        <v>2.0009000000000001</v>
      </c>
      <c r="F146" s="1">
        <v>0.77070000000000005</v>
      </c>
      <c r="G146" s="1">
        <v>11.7798</v>
      </c>
      <c r="H146" s="1">
        <v>8.8818000000000001</v>
      </c>
      <c r="I146" s="1">
        <v>2.7000000000000001E-3</v>
      </c>
      <c r="J146" s="1">
        <v>2.2334000000000001</v>
      </c>
      <c r="K146" s="1">
        <v>3.5920999999999998</v>
      </c>
      <c r="L146" s="1">
        <v>2.246</v>
      </c>
      <c r="M146" s="1">
        <v>-55.3</v>
      </c>
      <c r="N146" s="1">
        <v>1</v>
      </c>
      <c r="O146" s="1">
        <v>2.4621</v>
      </c>
      <c r="P146" s="1">
        <v>0.89900000000000002</v>
      </c>
      <c r="Q146" s="1">
        <v>10.363</v>
      </c>
      <c r="R146" s="1">
        <v>11.200200000000001</v>
      </c>
      <c r="S146" s="1">
        <v>2.2200000000000001E-2</v>
      </c>
      <c r="T146" s="1">
        <v>1.1415999999999999</v>
      </c>
      <c r="U146" s="1">
        <v>2.4106999999999998</v>
      </c>
      <c r="V146" s="1">
        <v>2.0568</v>
      </c>
      <c r="W146" s="1">
        <v>101.1</v>
      </c>
      <c r="X146" s="1">
        <v>1</v>
      </c>
      <c r="Y146" s="1">
        <v>1.403</v>
      </c>
      <c r="AA146" s="1">
        <v>10.1698</v>
      </c>
      <c r="AB146" s="1">
        <v>10.4274</v>
      </c>
      <c r="AC146" s="1">
        <v>2.29E-2</v>
      </c>
      <c r="AD146" s="1">
        <v>3.5114000000000001</v>
      </c>
      <c r="AE146" s="1">
        <v>4.9588000000000001</v>
      </c>
      <c r="AF146" s="1">
        <v>2.4561999999999999</v>
      </c>
    </row>
    <row r="147" spans="1:32" x14ac:dyDescent="0.2">
      <c r="A147" s="1">
        <v>129</v>
      </c>
      <c r="B147" s="1">
        <v>1</v>
      </c>
      <c r="C147" s="1">
        <v>25</v>
      </c>
      <c r="D147" s="1">
        <v>1</v>
      </c>
      <c r="E147" s="1">
        <v>2.0682999999999998</v>
      </c>
      <c r="F147" s="1">
        <v>0.77580000000000005</v>
      </c>
      <c r="G147" s="1">
        <v>0.34599999999999997</v>
      </c>
      <c r="H147" s="1">
        <v>-0.48870000000000002</v>
      </c>
      <c r="I147" s="1">
        <v>1.4E-3</v>
      </c>
      <c r="J147" s="1">
        <v>3.0958000000000001</v>
      </c>
      <c r="K147" s="1">
        <v>3.4451999999999998</v>
      </c>
      <c r="L147" s="1">
        <v>2.117</v>
      </c>
      <c r="M147" s="1">
        <v>-55.3</v>
      </c>
      <c r="N147" s="1">
        <v>1</v>
      </c>
      <c r="O147" s="1">
        <v>2.3006000000000002</v>
      </c>
      <c r="P147" s="1">
        <v>0.90210000000000001</v>
      </c>
      <c r="Q147" s="1">
        <v>0.3135</v>
      </c>
      <c r="R147" s="1">
        <v>-0.48780000000000001</v>
      </c>
      <c r="S147" s="1">
        <v>1.44E-2</v>
      </c>
      <c r="T147" s="1">
        <v>0.95379999999999998</v>
      </c>
      <c r="U147" s="1">
        <v>2.3418999999999999</v>
      </c>
      <c r="V147" s="1">
        <v>1.9359999999999999</v>
      </c>
      <c r="W147" s="1">
        <v>100.7</v>
      </c>
      <c r="X147" s="1">
        <v>1</v>
      </c>
      <c r="Y147" s="1">
        <v>1.4863</v>
      </c>
      <c r="AA147" s="1">
        <v>0.33879999999999999</v>
      </c>
      <c r="AB147" s="1">
        <v>-0.3962</v>
      </c>
      <c r="AC147" s="1">
        <v>0.32919999999999999</v>
      </c>
      <c r="AD147" s="1">
        <v>3.3068</v>
      </c>
      <c r="AE147" s="1">
        <v>4.7576000000000001</v>
      </c>
      <c r="AF147" s="1">
        <v>2.3098000000000001</v>
      </c>
    </row>
    <row r="148" spans="1:32" x14ac:dyDescent="0.2">
      <c r="A148" s="1">
        <v>130</v>
      </c>
      <c r="B148" s="1">
        <v>1</v>
      </c>
      <c r="C148" s="1">
        <v>25</v>
      </c>
      <c r="D148" s="1">
        <v>1</v>
      </c>
      <c r="E148" s="1">
        <v>2.0630000000000002</v>
      </c>
      <c r="F148" s="1">
        <v>0.77900000000000003</v>
      </c>
      <c r="G148" s="1">
        <v>0.31109999999999999</v>
      </c>
      <c r="H148" s="1">
        <v>-0.44919999999999999</v>
      </c>
      <c r="I148" s="1">
        <v>1.1000000000000001E-3</v>
      </c>
      <c r="J148" s="1">
        <v>3.0771000000000002</v>
      </c>
      <c r="K148" s="1">
        <v>3.4990999999999999</v>
      </c>
      <c r="L148" s="1">
        <v>1.9843</v>
      </c>
      <c r="M148" s="1">
        <v>-55.3</v>
      </c>
      <c r="N148" s="1">
        <v>1</v>
      </c>
      <c r="O148" s="1">
        <v>2.3010999999999999</v>
      </c>
      <c r="P148" s="1">
        <v>0.90680000000000005</v>
      </c>
      <c r="Q148" s="1">
        <v>0.2198</v>
      </c>
      <c r="R148" s="1">
        <v>-0.29449999999999998</v>
      </c>
      <c r="S148" s="1">
        <v>1.34E-2</v>
      </c>
      <c r="T148" s="1">
        <v>1.0712999999999999</v>
      </c>
      <c r="U148" s="1">
        <v>2.3915999999999999</v>
      </c>
      <c r="V148" s="1">
        <v>1.8030999999999999</v>
      </c>
      <c r="W148" s="1">
        <v>101</v>
      </c>
      <c r="X148" s="1">
        <v>1</v>
      </c>
      <c r="Y148" s="1">
        <v>1.4567000000000001</v>
      </c>
      <c r="AA148" s="1">
        <v>0.42049999999999998</v>
      </c>
      <c r="AB148" s="1">
        <v>-0.45700000000000002</v>
      </c>
      <c r="AC148" s="1">
        <v>0.40870000000000001</v>
      </c>
      <c r="AD148" s="1">
        <v>3.2825000000000002</v>
      </c>
      <c r="AE148" s="1">
        <v>4.8163999999999998</v>
      </c>
      <c r="AF148" s="1">
        <v>2.1787999999999998</v>
      </c>
    </row>
    <row r="149" spans="1:32" x14ac:dyDescent="0.2">
      <c r="A149" s="1">
        <v>131</v>
      </c>
      <c r="B149" s="1">
        <v>1</v>
      </c>
      <c r="C149" s="1">
        <v>25.1</v>
      </c>
      <c r="D149" s="1">
        <v>1</v>
      </c>
      <c r="E149" s="1">
        <v>1.9698</v>
      </c>
      <c r="F149" s="1">
        <v>0.77110000000000001</v>
      </c>
      <c r="G149" s="1">
        <v>10.8782</v>
      </c>
      <c r="H149" s="1">
        <v>10.2986</v>
      </c>
      <c r="I149" s="1">
        <v>2.5000000000000001E-3</v>
      </c>
      <c r="J149" s="1">
        <v>2.2227000000000001</v>
      </c>
      <c r="K149" s="1">
        <v>3.8041</v>
      </c>
      <c r="L149" s="1">
        <v>2.2084000000000001</v>
      </c>
      <c r="M149" s="1">
        <v>-55.3</v>
      </c>
      <c r="N149" s="1">
        <v>1</v>
      </c>
      <c r="O149" s="1">
        <v>2.4245000000000001</v>
      </c>
      <c r="P149" s="1">
        <v>0.89939999999999998</v>
      </c>
      <c r="Q149" s="1">
        <v>9.2682000000000002</v>
      </c>
      <c r="R149" s="1">
        <v>11.200200000000001</v>
      </c>
      <c r="S149" s="1">
        <v>2.3599999999999999E-2</v>
      </c>
      <c r="T149" s="1">
        <v>1.2197</v>
      </c>
      <c r="U149" s="1">
        <v>2.4664000000000001</v>
      </c>
      <c r="V149" s="1">
        <v>2.0175000000000001</v>
      </c>
      <c r="W149" s="1">
        <v>100.9</v>
      </c>
      <c r="X149" s="1">
        <v>1</v>
      </c>
      <c r="Y149" s="1">
        <v>1.3746</v>
      </c>
      <c r="AA149" s="1">
        <v>10.1698</v>
      </c>
      <c r="AB149" s="1">
        <v>9.4613999999999994</v>
      </c>
      <c r="AC149" s="1">
        <v>2.2700000000000001E-2</v>
      </c>
      <c r="AD149" s="1">
        <v>3.6211000000000002</v>
      </c>
      <c r="AE149" s="1">
        <v>4.93</v>
      </c>
      <c r="AF149" s="1">
        <v>2.4180999999999999</v>
      </c>
    </row>
    <row r="150" spans="1:32" x14ac:dyDescent="0.2">
      <c r="A150" s="1">
        <v>132</v>
      </c>
      <c r="B150" s="1">
        <v>1</v>
      </c>
      <c r="C150" s="1">
        <v>25</v>
      </c>
      <c r="D150" s="1">
        <v>1</v>
      </c>
      <c r="E150" s="1">
        <v>2.2101000000000002</v>
      </c>
      <c r="F150" s="1">
        <v>0.78610000000000002</v>
      </c>
      <c r="G150" s="1">
        <v>0.40849999999999997</v>
      </c>
      <c r="H150" s="1">
        <v>-0.37769999999999998</v>
      </c>
      <c r="I150" s="1">
        <v>1.4E-3</v>
      </c>
      <c r="J150" s="1">
        <v>3.0198999999999998</v>
      </c>
      <c r="K150" s="1">
        <v>3.5722</v>
      </c>
      <c r="L150" s="1">
        <v>1.7657</v>
      </c>
      <c r="M150" s="1">
        <v>-55.5</v>
      </c>
      <c r="N150" s="1">
        <v>1</v>
      </c>
      <c r="O150" s="1">
        <v>2.3005</v>
      </c>
      <c r="P150" s="1">
        <v>0.90459999999999996</v>
      </c>
      <c r="Q150" s="1">
        <v>0.23680000000000001</v>
      </c>
      <c r="R150" s="1">
        <v>-0.34110000000000001</v>
      </c>
      <c r="S150" s="1">
        <v>1.44E-2</v>
      </c>
      <c r="T150" s="1">
        <v>1.0869</v>
      </c>
      <c r="U150" s="1">
        <v>2.6233</v>
      </c>
      <c r="V150" s="1">
        <v>1.5995999999999999</v>
      </c>
      <c r="W150" s="1">
        <v>100.4</v>
      </c>
      <c r="X150" s="1">
        <v>1</v>
      </c>
      <c r="Y150" s="1">
        <v>1.623</v>
      </c>
      <c r="AA150" s="1">
        <v>0.47089999999999999</v>
      </c>
      <c r="AB150" s="1">
        <v>-0.5484</v>
      </c>
      <c r="AC150" s="1">
        <v>0.25659999999999999</v>
      </c>
      <c r="AD150" s="1">
        <v>3.0903</v>
      </c>
      <c r="AE150" s="1">
        <v>4.7119</v>
      </c>
      <c r="AF150" s="1">
        <v>1.9374</v>
      </c>
    </row>
    <row r="151" spans="1:32" x14ac:dyDescent="0.2">
      <c r="A151" s="1">
        <v>133</v>
      </c>
      <c r="B151" s="1">
        <v>1</v>
      </c>
      <c r="C151" s="1">
        <v>25.1</v>
      </c>
      <c r="D151" s="1">
        <v>1</v>
      </c>
      <c r="E151" s="1">
        <v>2.0173000000000001</v>
      </c>
      <c r="F151" s="1">
        <v>0.7722</v>
      </c>
      <c r="G151" s="1">
        <v>11.200200000000001</v>
      </c>
      <c r="H151" s="1">
        <v>10.5562</v>
      </c>
      <c r="I151" s="1">
        <v>2.5000000000000001E-3</v>
      </c>
      <c r="J151" s="1">
        <v>2.2225999999999999</v>
      </c>
      <c r="K151" s="1">
        <v>3.6739000000000002</v>
      </c>
      <c r="L151" s="1">
        <v>2.2235999999999998</v>
      </c>
      <c r="M151" s="1">
        <v>-55.2</v>
      </c>
      <c r="N151" s="1">
        <v>1</v>
      </c>
      <c r="O151" s="1">
        <v>2.4704000000000002</v>
      </c>
      <c r="P151" s="1">
        <v>0.90059999999999996</v>
      </c>
      <c r="Q151" s="1">
        <v>10.1698</v>
      </c>
      <c r="R151" s="1">
        <v>10.105399999999999</v>
      </c>
      <c r="S151" s="1">
        <v>2.2700000000000001E-2</v>
      </c>
      <c r="T151" s="1">
        <v>1.1854</v>
      </c>
      <c r="U151" s="1">
        <v>2.4883000000000002</v>
      </c>
      <c r="V151" s="1">
        <v>2.0333999999999999</v>
      </c>
      <c r="W151" s="1">
        <v>100.6</v>
      </c>
      <c r="X151" s="1">
        <v>1</v>
      </c>
      <c r="Y151" s="1">
        <v>1.4204000000000001</v>
      </c>
      <c r="AA151" s="1">
        <v>9.3325999999999993</v>
      </c>
      <c r="AB151" s="1">
        <v>9.2682000000000002</v>
      </c>
      <c r="AC151" s="1">
        <v>2.18E-2</v>
      </c>
      <c r="AD151" s="1">
        <v>3.6261999999999999</v>
      </c>
      <c r="AE151" s="1">
        <v>5.0411000000000001</v>
      </c>
      <c r="AF151" s="1">
        <v>2.4340999999999999</v>
      </c>
    </row>
    <row r="152" spans="1:32" x14ac:dyDescent="0.2">
      <c r="A152" s="1">
        <v>134</v>
      </c>
      <c r="B152" s="1">
        <v>1</v>
      </c>
      <c r="C152" s="1">
        <v>25</v>
      </c>
      <c r="D152" s="1">
        <v>1</v>
      </c>
      <c r="E152" s="1">
        <v>2.0586000000000002</v>
      </c>
      <c r="F152" s="1">
        <v>0.78129999999999999</v>
      </c>
      <c r="G152" s="1">
        <v>0.26250000000000001</v>
      </c>
      <c r="H152" s="1">
        <v>-0.45779999999999998</v>
      </c>
      <c r="I152" s="1">
        <v>1.6999999999999999E-3</v>
      </c>
      <c r="J152" s="1">
        <v>3.0661999999999998</v>
      </c>
      <c r="K152" s="1">
        <v>3.5760999999999998</v>
      </c>
      <c r="L152" s="1">
        <v>2.0253999999999999</v>
      </c>
      <c r="M152" s="1">
        <v>-55.2</v>
      </c>
      <c r="N152" s="1">
        <v>1</v>
      </c>
      <c r="O152" s="1">
        <v>2.3014000000000001</v>
      </c>
      <c r="P152" s="1">
        <v>0.90790000000000004</v>
      </c>
      <c r="Q152" s="1">
        <v>0.4607</v>
      </c>
      <c r="R152" s="1">
        <v>-0.54059999999999997</v>
      </c>
      <c r="S152" s="1">
        <v>1.38E-2</v>
      </c>
      <c r="T152" s="1">
        <v>1.1338999999999999</v>
      </c>
      <c r="U152" s="1">
        <v>2.4961000000000002</v>
      </c>
      <c r="V152" s="1">
        <v>1.8442000000000001</v>
      </c>
      <c r="W152" s="1">
        <v>100.7</v>
      </c>
      <c r="X152" s="1">
        <v>1</v>
      </c>
      <c r="Y152" s="1">
        <v>1.4524999999999999</v>
      </c>
      <c r="AA152" s="1">
        <v>0.46810000000000002</v>
      </c>
      <c r="AB152" s="1">
        <v>-0.627</v>
      </c>
      <c r="AC152" s="1">
        <v>0.42470000000000002</v>
      </c>
      <c r="AD152" s="1">
        <v>3.3435999999999999</v>
      </c>
      <c r="AE152" s="1">
        <v>4.8272000000000004</v>
      </c>
      <c r="AF152" s="1">
        <v>2.2235999999999998</v>
      </c>
    </row>
    <row r="153" spans="1:32" x14ac:dyDescent="0.2">
      <c r="A153" s="1">
        <v>135</v>
      </c>
      <c r="B153" s="1">
        <v>1</v>
      </c>
      <c r="C153" s="1">
        <v>25</v>
      </c>
      <c r="D153" s="1">
        <v>1</v>
      </c>
      <c r="E153" s="1">
        <v>2.0670000000000002</v>
      </c>
      <c r="F153" s="1">
        <v>0.77829999999999999</v>
      </c>
      <c r="G153" s="1">
        <v>0.4143</v>
      </c>
      <c r="H153" s="1">
        <v>-0.30399999999999999</v>
      </c>
      <c r="I153" s="1">
        <v>1.6000000000000001E-3</v>
      </c>
      <c r="J153" s="1">
        <v>3.1293000000000002</v>
      </c>
      <c r="K153" s="1">
        <v>3.5042</v>
      </c>
      <c r="L153" s="1">
        <v>1.9701</v>
      </c>
      <c r="M153" s="1">
        <v>-55.2</v>
      </c>
      <c r="N153" s="1">
        <v>1</v>
      </c>
      <c r="O153" s="1">
        <v>2.3006000000000002</v>
      </c>
      <c r="P153" s="1">
        <v>0.90449999999999997</v>
      </c>
      <c r="Q153" s="1">
        <v>0.2379</v>
      </c>
      <c r="R153" s="1">
        <v>-0.31369999999999998</v>
      </c>
      <c r="S153" s="1">
        <v>1.46E-2</v>
      </c>
      <c r="T153" s="1">
        <v>0.9738</v>
      </c>
      <c r="U153" s="1">
        <v>2.3180000000000001</v>
      </c>
      <c r="V153" s="1">
        <v>1.7891999999999999</v>
      </c>
      <c r="W153" s="1">
        <v>100.8</v>
      </c>
      <c r="X153" s="1">
        <v>1</v>
      </c>
      <c r="Y153" s="1">
        <v>1.4849000000000001</v>
      </c>
      <c r="AA153" s="1">
        <v>0.36470000000000002</v>
      </c>
      <c r="AB153" s="1">
        <v>-0.51629999999999998</v>
      </c>
      <c r="AC153" s="1">
        <v>0.37630000000000002</v>
      </c>
      <c r="AD153" s="1">
        <v>3.0009000000000001</v>
      </c>
      <c r="AE153" s="1">
        <v>4.6885000000000003</v>
      </c>
      <c r="AF153" s="1">
        <v>2.1595</v>
      </c>
    </row>
    <row r="154" spans="1:32" x14ac:dyDescent="0.2">
      <c r="A154" s="1">
        <v>136</v>
      </c>
      <c r="B154" s="1">
        <v>1</v>
      </c>
      <c r="C154" s="1">
        <v>25.1</v>
      </c>
      <c r="D154" s="1">
        <v>1</v>
      </c>
      <c r="E154" s="1">
        <v>1.9782</v>
      </c>
      <c r="F154" s="1">
        <v>0.77190000000000003</v>
      </c>
      <c r="G154" s="1">
        <v>10.8782</v>
      </c>
      <c r="H154" s="1">
        <v>10.2342</v>
      </c>
      <c r="I154" s="1">
        <v>2.3999999999999998E-3</v>
      </c>
      <c r="J154" s="1">
        <v>2.242</v>
      </c>
      <c r="K154" s="1">
        <v>3.6292</v>
      </c>
      <c r="L154" s="1">
        <v>2.1398000000000001</v>
      </c>
      <c r="M154" s="1">
        <v>-55.2</v>
      </c>
      <c r="N154" s="1">
        <v>1</v>
      </c>
      <c r="O154" s="1">
        <v>2.4361999999999999</v>
      </c>
      <c r="P154" s="1">
        <v>0.90180000000000005</v>
      </c>
      <c r="Q154" s="1">
        <v>10.942600000000001</v>
      </c>
      <c r="R154" s="1">
        <v>10.5562</v>
      </c>
      <c r="S154" s="1">
        <v>2.41E-2</v>
      </c>
      <c r="T154" s="1">
        <v>1.2735000000000001</v>
      </c>
      <c r="U154" s="1">
        <v>2.4744999999999999</v>
      </c>
      <c r="V154" s="1">
        <v>1.9497</v>
      </c>
      <c r="W154" s="1">
        <v>100.8</v>
      </c>
      <c r="X154" s="1">
        <v>1</v>
      </c>
      <c r="Y154" s="1">
        <v>1.3814</v>
      </c>
      <c r="AA154" s="1">
        <v>10.041</v>
      </c>
      <c r="AB154" s="1">
        <v>9.0106000000000002</v>
      </c>
      <c r="AC154" s="1">
        <v>2.2100000000000002E-2</v>
      </c>
      <c r="AD154" s="1">
        <v>3.4346000000000001</v>
      </c>
      <c r="AE154" s="1">
        <v>4.9424000000000001</v>
      </c>
      <c r="AF154" s="1">
        <v>2.3475999999999999</v>
      </c>
    </row>
    <row r="155" spans="1:32" x14ac:dyDescent="0.2">
      <c r="A155" s="1">
        <v>137</v>
      </c>
      <c r="B155" s="1">
        <v>1</v>
      </c>
      <c r="C155" s="1">
        <v>25.1</v>
      </c>
      <c r="D155" s="1">
        <v>1</v>
      </c>
      <c r="E155" s="1">
        <v>1.9661999999999999</v>
      </c>
      <c r="F155" s="1">
        <v>0.77090000000000003</v>
      </c>
      <c r="G155" s="1">
        <v>11.1358</v>
      </c>
      <c r="H155" s="1">
        <v>10.1698</v>
      </c>
      <c r="I155" s="1">
        <v>2.5999999999999999E-3</v>
      </c>
      <c r="J155" s="1">
        <v>2.2839</v>
      </c>
      <c r="K155" s="1">
        <v>3.5697999999999999</v>
      </c>
      <c r="L155" s="1">
        <v>2.1825000000000001</v>
      </c>
      <c r="M155" s="1">
        <v>-55.3</v>
      </c>
      <c r="N155" s="1">
        <v>1</v>
      </c>
      <c r="O155" s="1">
        <v>2.4319999999999999</v>
      </c>
      <c r="P155" s="1">
        <v>0.90039999999999998</v>
      </c>
      <c r="Q155" s="1">
        <v>10.041</v>
      </c>
      <c r="R155" s="1">
        <v>10.813800000000001</v>
      </c>
      <c r="S155" s="1">
        <v>2.29E-2</v>
      </c>
      <c r="T155" s="1">
        <v>1.1849000000000001</v>
      </c>
      <c r="U155" s="1">
        <v>2.4457</v>
      </c>
      <c r="V155" s="1">
        <v>1.9959</v>
      </c>
      <c r="W155" s="1">
        <v>100.6</v>
      </c>
      <c r="X155" s="1">
        <v>1</v>
      </c>
      <c r="Y155" s="1">
        <v>1.3633</v>
      </c>
      <c r="AA155" s="1">
        <v>10.4274</v>
      </c>
      <c r="AB155" s="1">
        <v>7.4650999999999996</v>
      </c>
      <c r="AC155" s="1">
        <v>2.3599999999999999E-2</v>
      </c>
      <c r="AD155" s="1">
        <v>3.4525999999999999</v>
      </c>
      <c r="AE155" s="1">
        <v>4.9375</v>
      </c>
      <c r="AF155" s="1">
        <v>2.3910999999999998</v>
      </c>
    </row>
    <row r="156" spans="1:32" x14ac:dyDescent="0.2">
      <c r="A156" s="1">
        <v>138</v>
      </c>
      <c r="B156" s="1">
        <v>1</v>
      </c>
      <c r="C156" s="1">
        <v>25.1</v>
      </c>
      <c r="D156" s="1">
        <v>1</v>
      </c>
      <c r="E156" s="1">
        <v>2.1219000000000001</v>
      </c>
      <c r="F156" s="1">
        <v>0.78349999999999997</v>
      </c>
      <c r="G156" s="1">
        <v>0.371</v>
      </c>
      <c r="H156" s="1">
        <v>-0.30890000000000001</v>
      </c>
      <c r="I156" s="1">
        <v>1.8E-3</v>
      </c>
      <c r="J156" s="1">
        <v>3.0543</v>
      </c>
      <c r="K156" s="1">
        <v>3.5524</v>
      </c>
      <c r="L156" s="1">
        <v>1.9757</v>
      </c>
      <c r="M156" s="1">
        <v>-55.2</v>
      </c>
      <c r="N156" s="1">
        <v>1</v>
      </c>
      <c r="O156" s="1">
        <v>2.3008000000000002</v>
      </c>
      <c r="P156" s="1">
        <v>0.90349999999999997</v>
      </c>
      <c r="Q156" s="1">
        <v>0.30680000000000002</v>
      </c>
      <c r="R156" s="1">
        <v>-0.41349999999999998</v>
      </c>
      <c r="S156" s="1">
        <v>1.38E-2</v>
      </c>
      <c r="T156" s="1">
        <v>1.2238</v>
      </c>
      <c r="U156" s="1">
        <v>2.5257999999999998</v>
      </c>
      <c r="V156" s="1">
        <v>1.8042</v>
      </c>
      <c r="W156" s="1">
        <v>100.7</v>
      </c>
      <c r="X156" s="1">
        <v>1</v>
      </c>
      <c r="Y156" s="1">
        <v>1.5507</v>
      </c>
      <c r="AA156" s="1">
        <v>0.51259999999999994</v>
      </c>
      <c r="AB156" s="1">
        <v>-0.60729999999999995</v>
      </c>
      <c r="AC156" s="1">
        <v>0.22070000000000001</v>
      </c>
      <c r="AD156" s="1">
        <v>3.2770000000000001</v>
      </c>
      <c r="AE156" s="1">
        <v>4.8632</v>
      </c>
      <c r="AF156" s="1">
        <v>2.1549999999999998</v>
      </c>
    </row>
    <row r="157" spans="1:32" x14ac:dyDescent="0.2">
      <c r="A157" s="1">
        <v>139</v>
      </c>
      <c r="B157" s="1">
        <v>1</v>
      </c>
      <c r="C157" s="1">
        <v>25</v>
      </c>
      <c r="D157" s="1">
        <v>1</v>
      </c>
      <c r="E157" s="1">
        <v>2.1831</v>
      </c>
      <c r="F157" s="1">
        <v>0.7833</v>
      </c>
      <c r="G157" s="1">
        <v>0.2387</v>
      </c>
      <c r="H157" s="1">
        <v>-0.5323</v>
      </c>
      <c r="I157" s="1">
        <v>1.9E-3</v>
      </c>
      <c r="J157" s="1">
        <v>2.9531000000000001</v>
      </c>
      <c r="K157" s="1">
        <v>3.4365999999999999</v>
      </c>
      <c r="L157" s="1">
        <v>1.8132999999999999</v>
      </c>
      <c r="M157" s="1">
        <v>-55.2</v>
      </c>
      <c r="N157" s="1">
        <v>1</v>
      </c>
      <c r="O157" s="1">
        <v>2.3010999999999999</v>
      </c>
      <c r="P157" s="1">
        <v>0.91069999999999995</v>
      </c>
      <c r="Q157" s="1">
        <v>0.45829999999999999</v>
      </c>
      <c r="R157" s="1">
        <v>-0.5675</v>
      </c>
      <c r="S157" s="1">
        <v>1.4999999999999999E-2</v>
      </c>
      <c r="T157" s="1">
        <v>0.9657</v>
      </c>
      <c r="U157" s="1">
        <v>2.3835000000000002</v>
      </c>
      <c r="V157" s="1">
        <v>1.6375999999999999</v>
      </c>
      <c r="W157" s="1">
        <v>101.1</v>
      </c>
      <c r="X157" s="1">
        <v>1</v>
      </c>
      <c r="Y157" s="1">
        <v>1.5404</v>
      </c>
      <c r="AA157" s="1">
        <v>0.45329999999999998</v>
      </c>
      <c r="AB157" s="1">
        <v>-0.60499999999999998</v>
      </c>
      <c r="AC157" s="1">
        <v>0.43140000000000001</v>
      </c>
      <c r="AD157" s="1">
        <v>3.1204999999999998</v>
      </c>
      <c r="AE157" s="1">
        <v>4.7949000000000002</v>
      </c>
      <c r="AF157" s="1">
        <v>2.0005999999999999</v>
      </c>
    </row>
    <row r="158" spans="1:32" x14ac:dyDescent="0.2">
      <c r="A158" s="1">
        <v>140</v>
      </c>
      <c r="B158" s="1">
        <v>1</v>
      </c>
      <c r="C158" s="1">
        <v>25</v>
      </c>
      <c r="D158" s="1">
        <v>1</v>
      </c>
      <c r="E158" s="1">
        <v>2.0657000000000001</v>
      </c>
      <c r="F158" s="1">
        <v>0.78120000000000001</v>
      </c>
      <c r="G158" s="1">
        <v>0.4945</v>
      </c>
      <c r="H158" s="1">
        <v>-0.35780000000000001</v>
      </c>
      <c r="I158" s="1">
        <v>1.6000000000000001E-3</v>
      </c>
      <c r="J158" s="1">
        <v>3.0954999999999999</v>
      </c>
      <c r="K158" s="1">
        <v>3.3982999999999999</v>
      </c>
      <c r="L158" s="1">
        <v>1.8535999999999999</v>
      </c>
      <c r="M158" s="1">
        <v>-55.3</v>
      </c>
      <c r="N158" s="1">
        <v>1</v>
      </c>
      <c r="O158" s="1">
        <v>2.3008000000000002</v>
      </c>
      <c r="P158" s="1">
        <v>0.90769999999999995</v>
      </c>
      <c r="Q158" s="1">
        <v>0.4496</v>
      </c>
      <c r="R158" s="1">
        <v>-0.52</v>
      </c>
      <c r="S158" s="1">
        <v>1.43E-2</v>
      </c>
      <c r="T158" s="1">
        <v>0.87239999999999995</v>
      </c>
      <c r="U158" s="1">
        <v>2.2755000000000001</v>
      </c>
      <c r="V158" s="1">
        <v>1.6769000000000001</v>
      </c>
      <c r="W158" s="1">
        <v>100.6</v>
      </c>
      <c r="X158" s="1">
        <v>1</v>
      </c>
      <c r="Y158" s="1">
        <v>1.4297</v>
      </c>
      <c r="AA158" s="1">
        <v>0.51659999999999995</v>
      </c>
      <c r="AB158" s="1">
        <v>-0.63449999999999995</v>
      </c>
      <c r="AC158" s="1">
        <v>0.53129999999999999</v>
      </c>
      <c r="AD158" s="1">
        <v>3.2728999999999999</v>
      </c>
      <c r="AE158" s="1">
        <v>4.7873999999999999</v>
      </c>
      <c r="AF158" s="1">
        <v>2.0487000000000002</v>
      </c>
    </row>
    <row r="159" spans="1:32" x14ac:dyDescent="0.2">
      <c r="A159" s="1">
        <v>141</v>
      </c>
      <c r="B159" s="1">
        <v>1</v>
      </c>
      <c r="C159" s="1">
        <v>25.1</v>
      </c>
      <c r="D159" s="1">
        <v>1</v>
      </c>
      <c r="E159" s="1">
        <v>1.9613</v>
      </c>
      <c r="F159" s="1">
        <v>0.77290000000000003</v>
      </c>
      <c r="G159" s="1">
        <v>11.200200000000001</v>
      </c>
      <c r="H159" s="1">
        <v>9.1394000000000002</v>
      </c>
      <c r="I159" s="1">
        <v>2.3E-3</v>
      </c>
      <c r="J159" s="1">
        <v>2.2565</v>
      </c>
      <c r="K159" s="1">
        <v>3.5335000000000001</v>
      </c>
      <c r="L159" s="1">
        <v>1.9602999999999999</v>
      </c>
      <c r="M159" s="1">
        <v>-55.3</v>
      </c>
      <c r="N159" s="1">
        <v>1</v>
      </c>
      <c r="O159" s="1">
        <v>2.4070999999999998</v>
      </c>
      <c r="P159" s="1">
        <v>0.90410000000000001</v>
      </c>
      <c r="Q159" s="1">
        <v>8.9461999999999993</v>
      </c>
      <c r="R159" s="1">
        <v>8.9461999999999993</v>
      </c>
      <c r="S159" s="1">
        <v>2.29E-2</v>
      </c>
      <c r="T159" s="1">
        <v>1.1001000000000001</v>
      </c>
      <c r="U159" s="1">
        <v>2.3927</v>
      </c>
      <c r="V159" s="1">
        <v>1.7762</v>
      </c>
      <c r="W159" s="1">
        <v>101.1</v>
      </c>
      <c r="X159" s="1">
        <v>1</v>
      </c>
      <c r="Y159" s="1">
        <v>1.3766</v>
      </c>
      <c r="AA159" s="1">
        <v>11.007</v>
      </c>
      <c r="AB159" s="1">
        <v>9.9122000000000003</v>
      </c>
      <c r="AC159" s="1">
        <v>2.1600000000000001E-2</v>
      </c>
      <c r="AD159" s="1">
        <v>3.3441000000000001</v>
      </c>
      <c r="AE159" s="1">
        <v>4.8621999999999996</v>
      </c>
      <c r="AF159" s="1">
        <v>2.1589999999999998</v>
      </c>
    </row>
  </sheetData>
  <conditionalFormatting sqref="A19:A159">
    <cfRule type="duplicateValues" dxfId="43" priority="1"/>
  </conditionalFormatting>
  <conditionalFormatting sqref="A160:A50097">
    <cfRule type="duplicateValues" dxfId="42" priority="2"/>
  </conditionalFormatting>
  <pageMargins left="0.7" right="0.7" top="0.75" bottom="0.75" header="0.3" footer="0.3"/>
  <pageSetup orientation="portrait" r:id="rId1"/>
  <headerFooter>
    <oddHeader>&amp;L&amp;7Sent By: linda.edwards@integra-tech.com -  Downloaded By: Ovando, Leslie - 24-07-2024_11-23-27
The export classifications (HEC/TEC) in this watermark supersede any other classification. Document is restricted per applicable export laws.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F900-3AE7-48C3-B308-D8C9F1B098CF}">
  <dimension ref="A1:AF154"/>
  <sheetViews>
    <sheetView topLeftCell="A58" workbookViewId="0">
      <selection activeCell="AA22" sqref="AA22"/>
    </sheetView>
  </sheetViews>
  <sheetFormatPr defaultColWidth="9.140625" defaultRowHeight="11.25" x14ac:dyDescent="0.2"/>
  <cols>
    <col min="1" max="16384" width="9.140625" style="1"/>
  </cols>
  <sheetData>
    <row r="1" spans="1:32" x14ac:dyDescent="0.2">
      <c r="C1" s="1" t="s">
        <v>83</v>
      </c>
    </row>
    <row r="3" spans="1:32" s="2" customFormat="1" x14ac:dyDescent="0.2">
      <c r="A3" s="2" t="s">
        <v>1</v>
      </c>
      <c r="B3" s="2" t="s">
        <v>84</v>
      </c>
      <c r="D3" s="2" t="s">
        <v>36</v>
      </c>
      <c r="E3" s="2" t="s">
        <v>35</v>
      </c>
    </row>
    <row r="4" spans="1:32" s="2" customFormat="1" x14ac:dyDescent="0.2">
      <c r="A4" s="2" t="s">
        <v>2</v>
      </c>
      <c r="B4" s="2" t="s">
        <v>42</v>
      </c>
      <c r="D4" s="2" t="s">
        <v>34</v>
      </c>
      <c r="E4" s="2" t="s">
        <v>43</v>
      </c>
    </row>
    <row r="5" spans="1:32" s="2" customFormat="1" x14ac:dyDescent="0.2">
      <c r="A5" s="2" t="s">
        <v>3</v>
      </c>
      <c r="B5" s="2" t="s">
        <v>42</v>
      </c>
      <c r="D5" s="2" t="s">
        <v>33</v>
      </c>
      <c r="E5" s="2">
        <f>COUNT(B19:B154)</f>
        <v>136</v>
      </c>
    </row>
    <row r="6" spans="1:32" s="2" customFormat="1" x14ac:dyDescent="0.2">
      <c r="A6" s="2" t="s">
        <v>4</v>
      </c>
      <c r="B6" s="2" t="s">
        <v>44</v>
      </c>
      <c r="D6" s="2" t="s">
        <v>32</v>
      </c>
      <c r="E6" s="2">
        <f>SUMIF(B19:B154,1)</f>
        <v>136</v>
      </c>
    </row>
    <row r="7" spans="1:32" s="2" customFormat="1" x14ac:dyDescent="0.2">
      <c r="A7" s="2" t="s">
        <v>5</v>
      </c>
      <c r="B7" s="2" t="s">
        <v>45</v>
      </c>
      <c r="D7" s="2" t="s">
        <v>31</v>
      </c>
      <c r="E7" s="2">
        <f>E5-E6</f>
        <v>0</v>
      </c>
    </row>
    <row r="9" spans="1:32" x14ac:dyDescent="0.2"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54</v>
      </c>
      <c r="L9" s="1" t="s">
        <v>55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54</v>
      </c>
      <c r="V9" s="1" t="s">
        <v>55</v>
      </c>
      <c r="W9" s="1" t="s">
        <v>46</v>
      </c>
      <c r="X9" s="1" t="s">
        <v>47</v>
      </c>
      <c r="Y9" s="1" t="s">
        <v>48</v>
      </c>
      <c r="Z9" s="4" t="s">
        <v>49</v>
      </c>
      <c r="AA9" s="1" t="s">
        <v>50</v>
      </c>
      <c r="AB9" s="1" t="s">
        <v>51</v>
      </c>
      <c r="AC9" s="1" t="s">
        <v>52</v>
      </c>
      <c r="AD9" s="1" t="s">
        <v>53</v>
      </c>
      <c r="AE9" s="1" t="s">
        <v>54</v>
      </c>
      <c r="AF9" s="1" t="s">
        <v>55</v>
      </c>
    </row>
    <row r="10" spans="1:32" x14ac:dyDescent="0.2">
      <c r="A10" s="2" t="s">
        <v>6</v>
      </c>
      <c r="B10" s="2" t="s">
        <v>7</v>
      </c>
      <c r="C10" s="1" t="s">
        <v>56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39</v>
      </c>
      <c r="I10" s="1" t="s">
        <v>12</v>
      </c>
      <c r="J10" s="1" t="s">
        <v>13</v>
      </c>
      <c r="K10" s="1" t="s">
        <v>30</v>
      </c>
      <c r="L10" s="1" t="s">
        <v>29</v>
      </c>
      <c r="M10" s="1" t="s">
        <v>38</v>
      </c>
      <c r="N10" s="1" t="s">
        <v>28</v>
      </c>
      <c r="O10" s="1" t="s">
        <v>27</v>
      </c>
      <c r="P10" s="1" t="s">
        <v>26</v>
      </c>
      <c r="Q10" s="1" t="s">
        <v>25</v>
      </c>
      <c r="R10" s="1" t="s">
        <v>37</v>
      </c>
      <c r="S10" s="1" t="s">
        <v>24</v>
      </c>
      <c r="T10" s="1" t="s">
        <v>23</v>
      </c>
      <c r="U10" s="1" t="s">
        <v>22</v>
      </c>
      <c r="V10" s="1" t="s">
        <v>21</v>
      </c>
      <c r="W10" s="1" t="s">
        <v>57</v>
      </c>
      <c r="X10" s="1" t="s">
        <v>58</v>
      </c>
      <c r="Y10" s="1" t="s">
        <v>59</v>
      </c>
      <c r="Z10" s="4" t="s">
        <v>26</v>
      </c>
      <c r="AA10" s="1" t="s">
        <v>60</v>
      </c>
      <c r="AB10" s="1" t="s">
        <v>61</v>
      </c>
      <c r="AC10" s="1" t="s">
        <v>62</v>
      </c>
      <c r="AD10" s="1" t="s">
        <v>63</v>
      </c>
      <c r="AE10" s="1" t="s">
        <v>64</v>
      </c>
      <c r="AF10" s="1" t="s">
        <v>65</v>
      </c>
    </row>
    <row r="11" spans="1:32" x14ac:dyDescent="0.2">
      <c r="D11" s="1" t="s">
        <v>66</v>
      </c>
      <c r="E11" s="1" t="s">
        <v>67</v>
      </c>
      <c r="F11" s="1" t="s">
        <v>68</v>
      </c>
      <c r="G11" s="1" t="s">
        <v>69</v>
      </c>
      <c r="H11" s="1" t="s">
        <v>69</v>
      </c>
      <c r="I11" s="1" t="s">
        <v>70</v>
      </c>
      <c r="J11" s="1" t="s">
        <v>71</v>
      </c>
      <c r="K11" s="1" t="s">
        <v>72</v>
      </c>
      <c r="N11" s="1" t="s">
        <v>73</v>
      </c>
      <c r="O11" s="1" t="s">
        <v>74</v>
      </c>
      <c r="P11" s="1" t="s">
        <v>68</v>
      </c>
      <c r="Q11" s="1" t="s">
        <v>69</v>
      </c>
      <c r="R11" s="1" t="s">
        <v>69</v>
      </c>
      <c r="S11" s="1" t="s">
        <v>70</v>
      </c>
      <c r="T11" s="1" t="s">
        <v>75</v>
      </c>
      <c r="U11" s="1" t="s">
        <v>76</v>
      </c>
      <c r="X11" s="1" t="s">
        <v>73</v>
      </c>
      <c r="Y11" s="1" t="s">
        <v>74</v>
      </c>
      <c r="Z11" s="4" t="s">
        <v>68</v>
      </c>
      <c r="AA11" s="1" t="s">
        <v>69</v>
      </c>
      <c r="AB11" s="1" t="s">
        <v>69</v>
      </c>
      <c r="AC11" s="1" t="s">
        <v>70</v>
      </c>
      <c r="AD11" s="1" t="s">
        <v>71</v>
      </c>
      <c r="AE11" s="1" t="s">
        <v>72</v>
      </c>
    </row>
    <row r="12" spans="1:32" x14ac:dyDescent="0.2">
      <c r="C12" s="1" t="s">
        <v>77</v>
      </c>
      <c r="D12" s="1" t="s">
        <v>78</v>
      </c>
      <c r="E12" s="1" t="s">
        <v>79</v>
      </c>
      <c r="F12" s="1" t="s">
        <v>79</v>
      </c>
      <c r="G12" s="1" t="s">
        <v>80</v>
      </c>
      <c r="H12" s="1" t="s">
        <v>80</v>
      </c>
      <c r="I12" s="1" t="s">
        <v>0</v>
      </c>
      <c r="J12" s="1" t="s">
        <v>81</v>
      </c>
      <c r="K12" s="1" t="s">
        <v>81</v>
      </c>
      <c r="L12" s="1" t="s">
        <v>82</v>
      </c>
      <c r="M12" s="1" t="s">
        <v>77</v>
      </c>
      <c r="N12" s="1" t="s">
        <v>78</v>
      </c>
      <c r="O12" s="1" t="s">
        <v>79</v>
      </c>
      <c r="P12" s="1" t="s">
        <v>79</v>
      </c>
      <c r="Q12" s="1" t="s">
        <v>80</v>
      </c>
      <c r="R12" s="1" t="s">
        <v>80</v>
      </c>
      <c r="S12" s="1" t="s">
        <v>0</v>
      </c>
      <c r="T12" s="1" t="s">
        <v>81</v>
      </c>
      <c r="U12" s="1" t="s">
        <v>81</v>
      </c>
      <c r="V12" s="1" t="s">
        <v>82</v>
      </c>
      <c r="W12" s="1" t="s">
        <v>77</v>
      </c>
      <c r="X12" s="1" t="s">
        <v>78</v>
      </c>
      <c r="Y12" s="1" t="s">
        <v>79</v>
      </c>
      <c r="Z12" s="4" t="s">
        <v>79</v>
      </c>
      <c r="AA12" s="1" t="s">
        <v>80</v>
      </c>
      <c r="AB12" s="1" t="s">
        <v>80</v>
      </c>
      <c r="AC12" s="1" t="s">
        <v>0</v>
      </c>
      <c r="AD12" s="1" t="s">
        <v>81</v>
      </c>
      <c r="AE12" s="1" t="s">
        <v>81</v>
      </c>
      <c r="AF12" s="1" t="s">
        <v>82</v>
      </c>
    </row>
    <row r="13" spans="1:32" x14ac:dyDescent="0.2">
      <c r="A13" s="2" t="s">
        <v>14</v>
      </c>
      <c r="C13" s="1">
        <v>28</v>
      </c>
      <c r="D13" s="1">
        <v>1.5</v>
      </c>
      <c r="E13" s="1">
        <v>2.5</v>
      </c>
      <c r="F13" s="1">
        <v>1.2</v>
      </c>
      <c r="G13" s="1">
        <v>100</v>
      </c>
      <c r="H13" s="1">
        <v>100</v>
      </c>
      <c r="I13" s="1">
        <v>1</v>
      </c>
      <c r="J13" s="1">
        <v>3.8</v>
      </c>
      <c r="K13" s="1">
        <v>5</v>
      </c>
      <c r="L13" s="1">
        <v>4.9000000000000004</v>
      </c>
      <c r="M13" s="1">
        <v>-52</v>
      </c>
      <c r="N13" s="1">
        <v>1.5</v>
      </c>
      <c r="O13" s="1">
        <v>2.5</v>
      </c>
      <c r="P13" s="1">
        <v>1.2</v>
      </c>
      <c r="Q13" s="1">
        <v>100</v>
      </c>
      <c r="R13" s="1">
        <v>100</v>
      </c>
      <c r="S13" s="1">
        <v>1</v>
      </c>
      <c r="T13" s="1">
        <v>3.8</v>
      </c>
      <c r="U13" s="1">
        <v>5</v>
      </c>
      <c r="V13" s="1">
        <v>4.9000000000000004</v>
      </c>
      <c r="W13" s="1">
        <v>103</v>
      </c>
      <c r="X13" s="1">
        <v>1.5</v>
      </c>
      <c r="Y13" s="1">
        <v>2.5</v>
      </c>
      <c r="Z13" s="4">
        <v>1.2</v>
      </c>
      <c r="AA13" s="1">
        <v>100</v>
      </c>
      <c r="AB13" s="1">
        <v>100</v>
      </c>
      <c r="AC13" s="1">
        <v>50</v>
      </c>
      <c r="AD13" s="1">
        <v>7</v>
      </c>
      <c r="AE13" s="1">
        <v>7</v>
      </c>
      <c r="AF13" s="1">
        <v>4.9000000000000004</v>
      </c>
    </row>
    <row r="14" spans="1:32" x14ac:dyDescent="0.2">
      <c r="A14" s="2" t="s">
        <v>16</v>
      </c>
      <c r="C14" s="1">
        <v>22</v>
      </c>
      <c r="D14" s="1">
        <v>0.5</v>
      </c>
      <c r="E14" s="1">
        <v>1.5</v>
      </c>
      <c r="F14" s="1" t="s">
        <v>15</v>
      </c>
      <c r="G14" s="1">
        <v>-100</v>
      </c>
      <c r="H14" s="1">
        <v>-100</v>
      </c>
      <c r="I14" s="1">
        <v>0</v>
      </c>
      <c r="J14" s="1">
        <v>0</v>
      </c>
      <c r="K14" s="1">
        <v>0</v>
      </c>
      <c r="L14" s="1">
        <v>0.9</v>
      </c>
      <c r="M14" s="1">
        <v>-58</v>
      </c>
      <c r="N14" s="1">
        <v>0.5</v>
      </c>
      <c r="O14" s="1">
        <v>1.5</v>
      </c>
      <c r="P14" s="1" t="s">
        <v>15</v>
      </c>
      <c r="Q14" s="1">
        <v>-100</v>
      </c>
      <c r="R14" s="1">
        <v>-100</v>
      </c>
      <c r="S14" s="1">
        <v>0</v>
      </c>
      <c r="T14" s="1">
        <v>0</v>
      </c>
      <c r="U14" s="1">
        <v>0</v>
      </c>
      <c r="V14" s="1">
        <v>0.9</v>
      </c>
      <c r="W14" s="1">
        <v>97</v>
      </c>
      <c r="X14" s="1">
        <v>0.5</v>
      </c>
      <c r="Y14" s="1">
        <v>1</v>
      </c>
      <c r="Z14" s="4" t="s">
        <v>15</v>
      </c>
      <c r="AA14" s="1">
        <v>-100</v>
      </c>
      <c r="AB14" s="1">
        <v>-100</v>
      </c>
      <c r="AC14" s="1">
        <v>0</v>
      </c>
      <c r="AD14" s="1">
        <v>0</v>
      </c>
      <c r="AE14" s="1">
        <v>0</v>
      </c>
      <c r="AF14" s="1">
        <v>0.9</v>
      </c>
    </row>
    <row r="15" spans="1:32" s="2" customFormat="1" x14ac:dyDescent="0.2">
      <c r="A15" s="2" t="s">
        <v>17</v>
      </c>
      <c r="C15" s="2">
        <f t="shared" ref="C15:AF15" si="0">MIN(C19:C154)</f>
        <v>24.9</v>
      </c>
      <c r="D15" s="2">
        <f t="shared" si="0"/>
        <v>1</v>
      </c>
      <c r="E15" s="2">
        <f t="shared" si="0"/>
        <v>1.9058999999999999</v>
      </c>
      <c r="F15" s="2">
        <f t="shared" si="0"/>
        <v>0.77239999999999998</v>
      </c>
      <c r="G15" s="2">
        <f t="shared" si="0"/>
        <v>4.6399999999999997E-2</v>
      </c>
      <c r="H15" s="2">
        <f t="shared" si="0"/>
        <v>-0.65239999999999998</v>
      </c>
      <c r="I15" s="2">
        <f t="shared" si="0"/>
        <v>4.0000000000000002E-4</v>
      </c>
      <c r="J15" s="2">
        <f t="shared" si="0"/>
        <v>3.1539000000000001</v>
      </c>
      <c r="K15" s="2">
        <f t="shared" si="0"/>
        <v>3.5411000000000001</v>
      </c>
      <c r="L15" s="2">
        <f t="shared" si="0"/>
        <v>1.6660999999999999</v>
      </c>
      <c r="M15" s="2">
        <f t="shared" si="0"/>
        <v>-57.6</v>
      </c>
      <c r="N15" s="2">
        <f t="shared" si="0"/>
        <v>1</v>
      </c>
      <c r="O15" s="2">
        <f t="shared" si="0"/>
        <v>2.3163</v>
      </c>
      <c r="P15" s="2">
        <f t="shared" si="0"/>
        <v>0.88449999999999995</v>
      </c>
      <c r="Q15" s="2">
        <f t="shared" si="0"/>
        <v>1.12E-2</v>
      </c>
      <c r="R15" s="2">
        <f t="shared" si="0"/>
        <v>-95.457700000000003</v>
      </c>
      <c r="S15" s="2">
        <f t="shared" si="0"/>
        <v>1.89E-2</v>
      </c>
      <c r="T15" s="2">
        <f t="shared" si="0"/>
        <v>1.1599999999999999</v>
      </c>
      <c r="U15" s="2">
        <f t="shared" si="0"/>
        <v>2.4529000000000001</v>
      </c>
      <c r="V15" s="2">
        <f t="shared" si="0"/>
        <v>1.5084</v>
      </c>
      <c r="W15" s="2">
        <f t="shared" si="0"/>
        <v>99.8</v>
      </c>
      <c r="X15" s="2">
        <f t="shared" si="0"/>
        <v>1</v>
      </c>
      <c r="Y15" s="2">
        <f t="shared" si="0"/>
        <v>1.3701000000000001</v>
      </c>
      <c r="AA15" s="2">
        <f t="shared" si="0"/>
        <v>0.1298</v>
      </c>
      <c r="AB15" s="2">
        <f t="shared" si="0"/>
        <v>-0.84960000000000002</v>
      </c>
      <c r="AC15" s="2">
        <f t="shared" si="0"/>
        <v>7.6300000000000007E-2</v>
      </c>
      <c r="AD15" s="2">
        <f t="shared" si="0"/>
        <v>3.1280999999999999</v>
      </c>
      <c r="AE15" s="2">
        <f t="shared" si="0"/>
        <v>4.7328000000000001</v>
      </c>
      <c r="AF15" s="2">
        <f t="shared" si="0"/>
        <v>1.8290999999999999</v>
      </c>
    </row>
    <row r="16" spans="1:32" s="2" customFormat="1" x14ac:dyDescent="0.2">
      <c r="A16" s="2" t="s">
        <v>18</v>
      </c>
      <c r="C16" s="2">
        <f t="shared" ref="C16:AF16" si="1">MAX(C19:C154)</f>
        <v>25.6</v>
      </c>
      <c r="D16" s="2">
        <f t="shared" si="1"/>
        <v>1</v>
      </c>
      <c r="E16" s="2">
        <f t="shared" si="1"/>
        <v>2.3039000000000001</v>
      </c>
      <c r="F16" s="2">
        <f t="shared" si="1"/>
        <v>0.79090000000000005</v>
      </c>
      <c r="G16" s="2">
        <f t="shared" si="1"/>
        <v>0.5726</v>
      </c>
      <c r="H16" s="2">
        <f t="shared" si="1"/>
        <v>-7.3800000000000004E-2</v>
      </c>
      <c r="I16" s="2">
        <f t="shared" si="1"/>
        <v>1.8E-3</v>
      </c>
      <c r="J16" s="2">
        <f t="shared" si="1"/>
        <v>3.5710999999999999</v>
      </c>
      <c r="K16" s="2">
        <f t="shared" si="1"/>
        <v>4.5774999999999997</v>
      </c>
      <c r="L16" s="2">
        <f t="shared" si="1"/>
        <v>2.3289</v>
      </c>
      <c r="M16" s="2">
        <f t="shared" si="1"/>
        <v>-54.6</v>
      </c>
      <c r="N16" s="2">
        <f t="shared" si="1"/>
        <v>1</v>
      </c>
      <c r="O16" s="2">
        <f t="shared" si="1"/>
        <v>2.4963000000000002</v>
      </c>
      <c r="P16" s="2">
        <f t="shared" si="1"/>
        <v>0.90739999999999998</v>
      </c>
      <c r="Q16" s="2">
        <f t="shared" si="1"/>
        <v>20.397300000000001</v>
      </c>
      <c r="R16" s="2">
        <f t="shared" si="1"/>
        <v>-1.3899999999999999E-2</v>
      </c>
      <c r="S16" s="2">
        <f t="shared" si="1"/>
        <v>2.6599999999999999E-2</v>
      </c>
      <c r="T16" s="2">
        <f t="shared" si="1"/>
        <v>2.0672999999999999</v>
      </c>
      <c r="U16" s="2">
        <f t="shared" si="1"/>
        <v>3.4685999999999999</v>
      </c>
      <c r="V16" s="2">
        <f t="shared" si="1"/>
        <v>2.16</v>
      </c>
      <c r="W16" s="2">
        <f t="shared" si="1"/>
        <v>101.2</v>
      </c>
      <c r="X16" s="2">
        <f t="shared" si="1"/>
        <v>1</v>
      </c>
      <c r="Y16" s="2">
        <f t="shared" si="1"/>
        <v>1.7155</v>
      </c>
      <c r="AA16" s="2">
        <f t="shared" si="1"/>
        <v>0.67969999999999997</v>
      </c>
      <c r="AB16" s="2">
        <f t="shared" si="1"/>
        <v>-0.22650000000000001</v>
      </c>
      <c r="AC16" s="2">
        <f t="shared" si="1"/>
        <v>0.37769999999999998</v>
      </c>
      <c r="AD16" s="2">
        <f t="shared" si="1"/>
        <v>4.2458</v>
      </c>
      <c r="AE16" s="2">
        <f t="shared" si="1"/>
        <v>5.7807000000000004</v>
      </c>
      <c r="AF16" s="2">
        <f t="shared" si="1"/>
        <v>2.5137</v>
      </c>
    </row>
    <row r="17" spans="1:32" s="2" customFormat="1" x14ac:dyDescent="0.2">
      <c r="A17" s="2" t="s">
        <v>19</v>
      </c>
      <c r="C17" s="2">
        <f t="shared" ref="C17:AF17" si="2">AVERAGE(C19:C154)</f>
        <v>25.086029411764674</v>
      </c>
      <c r="D17" s="2">
        <f t="shared" si="2"/>
        <v>1</v>
      </c>
      <c r="E17" s="2">
        <f t="shared" si="2"/>
        <v>2.0148654411764713</v>
      </c>
      <c r="F17" s="2">
        <f t="shared" si="2"/>
        <v>0.77804926470588243</v>
      </c>
      <c r="G17" s="2">
        <f t="shared" si="2"/>
        <v>0.25145294117647071</v>
      </c>
      <c r="H17" s="2">
        <f t="shared" si="2"/>
        <v>-0.28594411764705874</v>
      </c>
      <c r="I17" s="2">
        <f t="shared" si="2"/>
        <v>1.4250000000000011E-3</v>
      </c>
      <c r="J17" s="2">
        <f t="shared" si="2"/>
        <v>3.4461249999999994</v>
      </c>
      <c r="K17" s="2">
        <f t="shared" si="2"/>
        <v>3.8972676470588246</v>
      </c>
      <c r="L17" s="2">
        <f t="shared" si="2"/>
        <v>2.0477205882352951</v>
      </c>
      <c r="M17" s="2">
        <f t="shared" si="2"/>
        <v>-55.204411764705888</v>
      </c>
      <c r="N17" s="2">
        <f t="shared" si="2"/>
        <v>1</v>
      </c>
      <c r="O17" s="2">
        <f t="shared" si="2"/>
        <v>2.408852941176471</v>
      </c>
      <c r="P17" s="2">
        <f t="shared" si="2"/>
        <v>0.89667720588235322</v>
      </c>
      <c r="Q17" s="2">
        <f t="shared" si="2"/>
        <v>0.72584558823529433</v>
      </c>
      <c r="R17" s="2">
        <f t="shared" si="2"/>
        <v>-3.2794536764705877</v>
      </c>
      <c r="S17" s="2">
        <f t="shared" si="2"/>
        <v>2.3972058823529402E-2</v>
      </c>
      <c r="T17" s="2">
        <f t="shared" si="2"/>
        <v>1.8509573529411762</v>
      </c>
      <c r="U17" s="2">
        <f t="shared" si="2"/>
        <v>2.8021698529411787</v>
      </c>
      <c r="V17" s="2">
        <f t="shared" si="2"/>
        <v>1.8760242647058818</v>
      </c>
      <c r="W17" s="2">
        <f t="shared" si="2"/>
        <v>100.40294117647061</v>
      </c>
      <c r="X17" s="2">
        <f t="shared" si="2"/>
        <v>1</v>
      </c>
      <c r="Y17" s="2">
        <f t="shared" si="2"/>
        <v>1.5016374999999997</v>
      </c>
      <c r="AA17" s="2">
        <f t="shared" si="2"/>
        <v>0.33268970588235286</v>
      </c>
      <c r="AB17" s="2">
        <f t="shared" si="2"/>
        <v>-0.44168455882352931</v>
      </c>
      <c r="AC17" s="2">
        <f t="shared" si="2"/>
        <v>0.22296985294117638</v>
      </c>
      <c r="AD17" s="2">
        <f t="shared" si="2"/>
        <v>3.9402705882352951</v>
      </c>
      <c r="AE17" s="2">
        <f t="shared" si="2"/>
        <v>5.10007720588235</v>
      </c>
      <c r="AF17" s="2">
        <f t="shared" si="2"/>
        <v>2.2252558823529403</v>
      </c>
    </row>
    <row r="18" spans="1:32" s="2" customFormat="1" x14ac:dyDescent="0.2">
      <c r="A18" s="2" t="s">
        <v>20</v>
      </c>
      <c r="C18" s="2">
        <f t="shared" ref="C18:AF18" si="3">STDEV(C19:C154)</f>
        <v>9.8261023596184729E-2</v>
      </c>
      <c r="D18" s="2">
        <f t="shared" si="3"/>
        <v>0</v>
      </c>
      <c r="E18" s="2">
        <f t="shared" si="3"/>
        <v>8.0514186814017064E-2</v>
      </c>
      <c r="F18" s="2">
        <f t="shared" si="3"/>
        <v>4.3364432656358386E-3</v>
      </c>
      <c r="G18" s="2">
        <f t="shared" si="3"/>
        <v>0.13447915104342156</v>
      </c>
      <c r="H18" s="2">
        <f t="shared" si="3"/>
        <v>0.14425233126799997</v>
      </c>
      <c r="I18" s="2">
        <f t="shared" si="3"/>
        <v>1.9388809296239041E-4</v>
      </c>
      <c r="J18" s="2">
        <f t="shared" si="3"/>
        <v>8.6009972505345964E-2</v>
      </c>
      <c r="K18" s="2">
        <f t="shared" si="3"/>
        <v>0.15665179876606869</v>
      </c>
      <c r="L18" s="2">
        <f t="shared" si="3"/>
        <v>0.17116946556952009</v>
      </c>
      <c r="M18" s="2">
        <f t="shared" si="3"/>
        <v>0.45393222647322218</v>
      </c>
      <c r="N18" s="2">
        <f t="shared" si="3"/>
        <v>0</v>
      </c>
      <c r="O18" s="2">
        <f t="shared" si="3"/>
        <v>4.5664968242830679E-2</v>
      </c>
      <c r="P18" s="2">
        <f t="shared" si="3"/>
        <v>4.2969923488630248E-3</v>
      </c>
      <c r="Q18" s="2">
        <f t="shared" si="3"/>
        <v>2.5470410348704084</v>
      </c>
      <c r="R18" s="2">
        <f t="shared" si="3"/>
        <v>13.704926348060544</v>
      </c>
      <c r="S18" s="2">
        <f t="shared" si="3"/>
        <v>1.8538325137689099E-3</v>
      </c>
      <c r="T18" s="2">
        <f t="shared" si="3"/>
        <v>0.28258148523458743</v>
      </c>
      <c r="U18" s="2">
        <f t="shared" si="3"/>
        <v>0.153464715365456</v>
      </c>
      <c r="V18" s="2">
        <f t="shared" si="3"/>
        <v>0.16708308622705967</v>
      </c>
      <c r="W18" s="2">
        <f t="shared" si="3"/>
        <v>0.22769088092170472</v>
      </c>
      <c r="X18" s="2">
        <f t="shared" si="3"/>
        <v>0</v>
      </c>
      <c r="Y18" s="2">
        <f t="shared" si="3"/>
        <v>7.0431918203694044E-2</v>
      </c>
      <c r="AA18" s="2">
        <f t="shared" si="3"/>
        <v>0.1393574414440753</v>
      </c>
      <c r="AB18" s="2">
        <f t="shared" si="3"/>
        <v>0.14820819584408829</v>
      </c>
      <c r="AC18" s="2">
        <f t="shared" si="3"/>
        <v>5.8044287459188632E-2</v>
      </c>
      <c r="AD18" s="2">
        <f t="shared" si="3"/>
        <v>0.30608857447614185</v>
      </c>
      <c r="AE18" s="2">
        <f t="shared" si="3"/>
        <v>0.15734303970384644</v>
      </c>
      <c r="AF18" s="2">
        <f t="shared" si="3"/>
        <v>0.1802655131310503</v>
      </c>
    </row>
    <row r="19" spans="1:32" x14ac:dyDescent="0.2">
      <c r="A19" s="1">
        <v>1</v>
      </c>
      <c r="B19" s="1">
        <v>1</v>
      </c>
      <c r="C19" s="1">
        <v>25</v>
      </c>
      <c r="D19" s="1">
        <v>1</v>
      </c>
      <c r="E19" s="1">
        <v>1.9212</v>
      </c>
      <c r="F19" s="1">
        <v>0.77429999999999999</v>
      </c>
      <c r="G19" s="1">
        <v>4.6399999999999997E-2</v>
      </c>
      <c r="H19" s="1">
        <v>-9.6600000000000005E-2</v>
      </c>
      <c r="I19" s="1">
        <v>1.1999999999999999E-3</v>
      </c>
      <c r="J19" s="1">
        <v>3.5106000000000002</v>
      </c>
      <c r="K19" s="1">
        <v>3.9154</v>
      </c>
      <c r="L19" s="1">
        <v>2.1996000000000002</v>
      </c>
      <c r="M19" s="1">
        <v>-55.4</v>
      </c>
      <c r="N19" s="1">
        <v>1</v>
      </c>
      <c r="O19" s="1">
        <v>2.3572000000000002</v>
      </c>
      <c r="P19" s="1">
        <v>0.89349999999999996</v>
      </c>
      <c r="Q19" s="1">
        <v>4.2039</v>
      </c>
      <c r="R19" s="1">
        <v>-27.689800000000002</v>
      </c>
      <c r="S19" s="1">
        <v>2.3900000000000001E-2</v>
      </c>
      <c r="T19" s="1">
        <v>2.0034000000000001</v>
      </c>
      <c r="U19" s="1">
        <v>2.7854999999999999</v>
      </c>
      <c r="V19" s="1">
        <v>2.024</v>
      </c>
      <c r="W19" s="1">
        <v>100.2</v>
      </c>
      <c r="X19" s="1">
        <v>1</v>
      </c>
      <c r="Y19" s="1">
        <v>1.4048</v>
      </c>
      <c r="AA19" s="1">
        <v>0.17100000000000001</v>
      </c>
      <c r="AB19" s="1">
        <v>-0.29020000000000001</v>
      </c>
      <c r="AC19" s="1">
        <v>0.28449999999999998</v>
      </c>
      <c r="AD19" s="1">
        <v>4.0860000000000003</v>
      </c>
      <c r="AE19" s="1">
        <v>5.1265999999999998</v>
      </c>
      <c r="AF19" s="1">
        <v>2.3849999999999998</v>
      </c>
    </row>
    <row r="20" spans="1:32" x14ac:dyDescent="0.2">
      <c r="A20" s="1">
        <v>2</v>
      </c>
      <c r="B20" s="1">
        <v>1</v>
      </c>
      <c r="C20" s="1">
        <v>25</v>
      </c>
      <c r="D20" s="1">
        <v>1</v>
      </c>
      <c r="E20" s="1">
        <v>2.0878999999999999</v>
      </c>
      <c r="F20" s="1">
        <v>0.78420000000000001</v>
      </c>
      <c r="G20" s="1">
        <v>0.53600000000000003</v>
      </c>
      <c r="H20" s="1">
        <v>-0.47549999999999998</v>
      </c>
      <c r="I20" s="1">
        <v>4.0000000000000002E-4</v>
      </c>
      <c r="J20" s="1">
        <v>3.5242</v>
      </c>
      <c r="K20" s="1">
        <v>3.7993000000000001</v>
      </c>
      <c r="L20" s="1">
        <v>1.9919</v>
      </c>
      <c r="M20" s="1">
        <v>-55.5</v>
      </c>
      <c r="N20" s="1">
        <v>1</v>
      </c>
      <c r="O20" s="1">
        <v>2.3994</v>
      </c>
      <c r="P20" s="1">
        <v>0.90059999999999996</v>
      </c>
      <c r="Q20" s="1">
        <v>0.4022</v>
      </c>
      <c r="R20" s="1">
        <v>-0.32679999999999998</v>
      </c>
      <c r="S20" s="1">
        <v>1.9599999999999999E-2</v>
      </c>
      <c r="T20" s="1">
        <v>1.3693</v>
      </c>
      <c r="U20" s="1">
        <v>2.6724999999999999</v>
      </c>
      <c r="V20" s="1">
        <v>1.8204</v>
      </c>
      <c r="W20" s="1">
        <v>101.2</v>
      </c>
      <c r="X20" s="1">
        <v>1</v>
      </c>
      <c r="Y20" s="1">
        <v>1.5522</v>
      </c>
      <c r="AA20" s="1">
        <v>0.59</v>
      </c>
      <c r="AB20" s="1">
        <v>-0.67689999999999995</v>
      </c>
      <c r="AC20" s="1">
        <v>0.21609999999999999</v>
      </c>
      <c r="AD20" s="1">
        <v>3.5648</v>
      </c>
      <c r="AE20" s="1">
        <v>5.0768000000000004</v>
      </c>
      <c r="AF20" s="1">
        <v>2.1650999999999998</v>
      </c>
    </row>
    <row r="21" spans="1:32" x14ac:dyDescent="0.2">
      <c r="A21" s="1">
        <v>3</v>
      </c>
      <c r="B21" s="1">
        <v>1</v>
      </c>
      <c r="C21" s="1">
        <v>25.2</v>
      </c>
      <c r="D21" s="1">
        <v>1</v>
      </c>
      <c r="E21" s="1">
        <v>1.98</v>
      </c>
      <c r="F21" s="1">
        <v>0.77700000000000002</v>
      </c>
      <c r="G21" s="1">
        <v>0.19350000000000001</v>
      </c>
      <c r="H21" s="1">
        <v>-0.3453</v>
      </c>
      <c r="I21" s="1">
        <v>1.2999999999999999E-3</v>
      </c>
      <c r="J21" s="1">
        <v>3.4157000000000002</v>
      </c>
      <c r="K21" s="1">
        <v>3.863</v>
      </c>
      <c r="L21" s="1">
        <v>1.9555</v>
      </c>
      <c r="M21" s="1">
        <v>-55.4</v>
      </c>
      <c r="N21" s="1">
        <v>1</v>
      </c>
      <c r="O21" s="1">
        <v>2.4306999999999999</v>
      </c>
      <c r="P21" s="1">
        <v>0.90329999999999999</v>
      </c>
      <c r="Q21" s="1">
        <v>0.25719999999999998</v>
      </c>
      <c r="R21" s="1">
        <v>-0.2888</v>
      </c>
      <c r="S21" s="1">
        <v>2.5999999999999999E-2</v>
      </c>
      <c r="T21" s="1">
        <v>1.9109</v>
      </c>
      <c r="U21" s="1">
        <v>2.7054</v>
      </c>
      <c r="V21" s="1">
        <v>1.7784</v>
      </c>
      <c r="W21" s="1">
        <v>100.5</v>
      </c>
      <c r="X21" s="1">
        <v>1</v>
      </c>
      <c r="Y21" s="1">
        <v>1.4157</v>
      </c>
      <c r="AA21" s="1">
        <v>0.35620000000000002</v>
      </c>
      <c r="AB21" s="1">
        <v>-0.51939999999999997</v>
      </c>
      <c r="AC21" s="1">
        <v>0.37769999999999998</v>
      </c>
      <c r="AD21" s="1">
        <v>4.1143000000000001</v>
      </c>
      <c r="AE21" s="1">
        <v>5.1551999999999998</v>
      </c>
      <c r="AF21" s="1">
        <v>2.1467000000000001</v>
      </c>
    </row>
    <row r="22" spans="1:32" x14ac:dyDescent="0.2">
      <c r="A22" s="1">
        <v>4</v>
      </c>
      <c r="B22" s="1">
        <v>1</v>
      </c>
      <c r="C22" s="1">
        <v>25.1</v>
      </c>
      <c r="D22" s="1">
        <v>1</v>
      </c>
      <c r="E22" s="1">
        <v>2.0396000000000001</v>
      </c>
      <c r="F22" s="1">
        <v>0.77900000000000003</v>
      </c>
      <c r="G22" s="1">
        <v>0.33079999999999998</v>
      </c>
      <c r="H22" s="1">
        <v>-0.35060000000000002</v>
      </c>
      <c r="I22" s="1">
        <v>1.2999999999999999E-3</v>
      </c>
      <c r="J22" s="1">
        <v>3.4159000000000002</v>
      </c>
      <c r="K22" s="1">
        <v>3.8591000000000002</v>
      </c>
      <c r="L22" s="1">
        <v>1.9168000000000001</v>
      </c>
      <c r="M22" s="1">
        <v>-54.9</v>
      </c>
      <c r="N22" s="1">
        <v>1</v>
      </c>
      <c r="O22" s="1">
        <v>2.4832000000000001</v>
      </c>
      <c r="P22" s="1">
        <v>0.90049999999999997</v>
      </c>
      <c r="Q22" s="1">
        <v>0.14710000000000001</v>
      </c>
      <c r="R22" s="1">
        <v>-0.26650000000000001</v>
      </c>
      <c r="S22" s="1">
        <v>2.5899999999999999E-2</v>
      </c>
      <c r="T22" s="1">
        <v>1.9240999999999999</v>
      </c>
      <c r="U22" s="1">
        <v>2.7747000000000002</v>
      </c>
      <c r="V22" s="1">
        <v>1.7441</v>
      </c>
      <c r="W22" s="1">
        <v>100.5</v>
      </c>
      <c r="X22" s="1">
        <v>1</v>
      </c>
      <c r="Y22" s="1">
        <v>1.4904999999999999</v>
      </c>
      <c r="AA22" s="1">
        <v>0.27010000000000001</v>
      </c>
      <c r="AB22" s="1">
        <v>-0.46429999999999999</v>
      </c>
      <c r="AC22" s="1">
        <v>0.29830000000000001</v>
      </c>
      <c r="AD22" s="1">
        <v>4.0819999999999999</v>
      </c>
      <c r="AE22" s="1">
        <v>5.0946999999999996</v>
      </c>
      <c r="AF22" s="1">
        <v>2.1012</v>
      </c>
    </row>
    <row r="23" spans="1:32" x14ac:dyDescent="0.2">
      <c r="A23" s="1">
        <v>5</v>
      </c>
      <c r="B23" s="1">
        <v>1</v>
      </c>
      <c r="C23" s="1">
        <v>25.1</v>
      </c>
      <c r="D23" s="1">
        <v>1</v>
      </c>
      <c r="E23" s="1">
        <v>1.9060999999999999</v>
      </c>
      <c r="F23" s="1">
        <v>0.77270000000000005</v>
      </c>
      <c r="G23" s="1">
        <v>0.2989</v>
      </c>
      <c r="H23" s="1">
        <v>-0.18920000000000001</v>
      </c>
      <c r="I23" s="1">
        <v>1.2999999999999999E-3</v>
      </c>
      <c r="J23" s="1">
        <v>3.5621</v>
      </c>
      <c r="K23" s="1">
        <v>3.9026000000000001</v>
      </c>
      <c r="L23" s="1">
        <v>2.2976999999999999</v>
      </c>
      <c r="M23" s="1">
        <v>-56.1</v>
      </c>
      <c r="N23" s="1">
        <v>1</v>
      </c>
      <c r="O23" s="1">
        <v>2.3424</v>
      </c>
      <c r="P23" s="1">
        <v>0.89810000000000001</v>
      </c>
      <c r="Q23" s="1">
        <v>0.15590000000000001</v>
      </c>
      <c r="R23" s="1">
        <v>-0.2848</v>
      </c>
      <c r="S23" s="1">
        <v>2.4500000000000001E-2</v>
      </c>
      <c r="T23" s="1">
        <v>1.9753000000000001</v>
      </c>
      <c r="U23" s="1">
        <v>2.7563</v>
      </c>
      <c r="V23" s="1">
        <v>2.1185</v>
      </c>
      <c r="W23" s="1">
        <v>100.4</v>
      </c>
      <c r="X23" s="1">
        <v>1</v>
      </c>
      <c r="Y23" s="1">
        <v>1.3701000000000001</v>
      </c>
      <c r="AA23" s="1">
        <v>0.20280000000000001</v>
      </c>
      <c r="AB23" s="1">
        <v>-0.2712</v>
      </c>
      <c r="AC23" s="1">
        <v>0.33110000000000001</v>
      </c>
      <c r="AD23" s="1">
        <v>4.1828000000000003</v>
      </c>
      <c r="AE23" s="1">
        <v>5.1692</v>
      </c>
      <c r="AF23" s="1">
        <v>2.4956999999999998</v>
      </c>
    </row>
    <row r="24" spans="1:32" x14ac:dyDescent="0.2">
      <c r="A24" s="1">
        <v>6</v>
      </c>
      <c r="B24" s="1">
        <v>1</v>
      </c>
      <c r="C24" s="1">
        <v>25.1</v>
      </c>
      <c r="D24" s="1">
        <v>1</v>
      </c>
      <c r="E24" s="1">
        <v>2.0417000000000001</v>
      </c>
      <c r="F24" s="1">
        <v>0.78029999999999999</v>
      </c>
      <c r="G24" s="1">
        <v>5.5800000000000002E-2</v>
      </c>
      <c r="H24" s="1">
        <v>-0.24829999999999999</v>
      </c>
      <c r="I24" s="1">
        <v>1.1999999999999999E-3</v>
      </c>
      <c r="J24" s="1">
        <v>3.3938999999999999</v>
      </c>
      <c r="K24" s="1">
        <v>3.8868999999999998</v>
      </c>
      <c r="L24" s="1">
        <v>1.8017000000000001</v>
      </c>
      <c r="M24" s="1">
        <v>-55</v>
      </c>
      <c r="N24" s="1">
        <v>1</v>
      </c>
      <c r="O24" s="1">
        <v>2.4914000000000001</v>
      </c>
      <c r="P24" s="1">
        <v>0.90269999999999995</v>
      </c>
      <c r="Q24" s="1">
        <v>0.17860000000000001</v>
      </c>
      <c r="R24" s="1">
        <v>-0.3085</v>
      </c>
      <c r="S24" s="1">
        <v>2.6200000000000001E-2</v>
      </c>
      <c r="T24" s="1">
        <v>1.9576</v>
      </c>
      <c r="U24" s="1">
        <v>2.7913999999999999</v>
      </c>
      <c r="V24" s="1">
        <v>1.6333</v>
      </c>
      <c r="W24" s="1">
        <v>100.6</v>
      </c>
      <c r="X24" s="1">
        <v>1</v>
      </c>
      <c r="Y24" s="1">
        <v>1.4819</v>
      </c>
      <c r="AA24" s="1">
        <v>0.3715</v>
      </c>
      <c r="AB24" s="1">
        <v>-0.53290000000000004</v>
      </c>
      <c r="AC24" s="1">
        <v>0.3281</v>
      </c>
      <c r="AD24" s="1">
        <v>4.0415999999999999</v>
      </c>
      <c r="AE24" s="1">
        <v>5.1505999999999998</v>
      </c>
      <c r="AF24" s="1">
        <v>1.9795</v>
      </c>
    </row>
    <row r="25" spans="1:32" x14ac:dyDescent="0.2">
      <c r="A25" s="1">
        <v>7</v>
      </c>
      <c r="B25" s="1">
        <v>1</v>
      </c>
      <c r="C25" s="1">
        <v>25.1</v>
      </c>
      <c r="D25" s="1">
        <v>1</v>
      </c>
      <c r="E25" s="1">
        <v>1.9185000000000001</v>
      </c>
      <c r="F25" s="1">
        <v>0.77329999999999999</v>
      </c>
      <c r="G25" s="1">
        <v>0.1976</v>
      </c>
      <c r="H25" s="1">
        <v>-0.35830000000000001</v>
      </c>
      <c r="I25" s="1">
        <v>1.5E-3</v>
      </c>
      <c r="J25" s="1">
        <v>3.4962</v>
      </c>
      <c r="K25" s="1">
        <v>3.8668999999999998</v>
      </c>
      <c r="L25" s="1">
        <v>2.2303000000000002</v>
      </c>
      <c r="M25" s="1">
        <v>-56</v>
      </c>
      <c r="N25" s="1">
        <v>1</v>
      </c>
      <c r="O25" s="1">
        <v>2.3424</v>
      </c>
      <c r="P25" s="1">
        <v>0.89219999999999999</v>
      </c>
      <c r="Q25" s="1">
        <v>0.27100000000000002</v>
      </c>
      <c r="R25" s="1">
        <v>-0.14749999999999999</v>
      </c>
      <c r="S25" s="1">
        <v>2.3400000000000001E-2</v>
      </c>
      <c r="T25" s="1">
        <v>2.0476000000000001</v>
      </c>
      <c r="U25" s="1">
        <v>2.7633000000000001</v>
      </c>
      <c r="V25" s="1">
        <v>2.0602</v>
      </c>
      <c r="W25" s="1">
        <v>100.5</v>
      </c>
      <c r="X25" s="1">
        <v>1</v>
      </c>
      <c r="Y25" s="1">
        <v>1.4218</v>
      </c>
      <c r="AA25" s="1">
        <v>0.33639999999999998</v>
      </c>
      <c r="AB25" s="1">
        <v>-0.51119999999999999</v>
      </c>
      <c r="AC25" s="1">
        <v>0.21390000000000001</v>
      </c>
      <c r="AD25" s="1">
        <v>4.0990000000000002</v>
      </c>
      <c r="AE25" s="1">
        <v>5.0578000000000003</v>
      </c>
      <c r="AF25" s="1">
        <v>2.4140999999999999</v>
      </c>
    </row>
    <row r="26" spans="1:32" x14ac:dyDescent="0.2">
      <c r="A26" s="1">
        <v>8</v>
      </c>
      <c r="B26" s="1">
        <v>1</v>
      </c>
      <c r="C26" s="1">
        <v>25</v>
      </c>
      <c r="D26" s="1">
        <v>1</v>
      </c>
      <c r="E26" s="1">
        <v>1.9713000000000001</v>
      </c>
      <c r="F26" s="1">
        <v>0.78120000000000001</v>
      </c>
      <c r="G26" s="1">
        <v>6.08E-2</v>
      </c>
      <c r="H26" s="1">
        <v>-0.17050000000000001</v>
      </c>
      <c r="I26" s="1">
        <v>1.6999999999999999E-3</v>
      </c>
      <c r="J26" s="1">
        <v>3.5432999999999999</v>
      </c>
      <c r="K26" s="1">
        <v>4.125</v>
      </c>
      <c r="L26" s="1">
        <v>2.0226000000000002</v>
      </c>
      <c r="M26" s="1">
        <v>-55</v>
      </c>
      <c r="N26" s="1">
        <v>1</v>
      </c>
      <c r="O26" s="1">
        <v>2.3788</v>
      </c>
      <c r="P26" s="1">
        <v>0.89680000000000004</v>
      </c>
      <c r="Q26" s="1">
        <v>2.64E-2</v>
      </c>
      <c r="R26" s="1">
        <v>-5.3699999999999998E-2</v>
      </c>
      <c r="S26" s="1">
        <v>2.4500000000000001E-2</v>
      </c>
      <c r="T26" s="1">
        <v>2.0383</v>
      </c>
      <c r="U26" s="1">
        <v>3.0966999999999998</v>
      </c>
      <c r="V26" s="1">
        <v>1.8551</v>
      </c>
      <c r="W26" s="1">
        <v>100.5</v>
      </c>
      <c r="X26" s="1">
        <v>1</v>
      </c>
      <c r="Y26" s="1">
        <v>1.4908999999999999</v>
      </c>
      <c r="AA26" s="1">
        <v>0.18590000000000001</v>
      </c>
      <c r="AB26" s="1">
        <v>-0.44190000000000002</v>
      </c>
      <c r="AC26" s="1">
        <v>0.17380000000000001</v>
      </c>
      <c r="AD26" s="1">
        <v>4.1604999999999999</v>
      </c>
      <c r="AE26" s="1">
        <v>5.2892000000000001</v>
      </c>
      <c r="AF26" s="1">
        <v>2.1970000000000001</v>
      </c>
    </row>
    <row r="27" spans="1:32" x14ac:dyDescent="0.2">
      <c r="A27" s="1">
        <v>9</v>
      </c>
      <c r="B27" s="1">
        <v>1</v>
      </c>
      <c r="C27" s="1">
        <v>25.2</v>
      </c>
      <c r="D27" s="1">
        <v>1</v>
      </c>
      <c r="E27" s="1">
        <v>1.9379999999999999</v>
      </c>
      <c r="F27" s="1">
        <v>0.77270000000000005</v>
      </c>
      <c r="G27" s="1">
        <v>0.28810000000000002</v>
      </c>
      <c r="H27" s="1">
        <v>-0.18490000000000001</v>
      </c>
      <c r="I27" s="1">
        <v>1.6000000000000001E-3</v>
      </c>
      <c r="J27" s="1">
        <v>3.5430999999999999</v>
      </c>
      <c r="K27" s="1">
        <v>3.911</v>
      </c>
      <c r="L27" s="1">
        <v>2.2877999999999998</v>
      </c>
      <c r="M27" s="1">
        <v>-55.2</v>
      </c>
      <c r="N27" s="1">
        <v>1</v>
      </c>
      <c r="O27" s="1">
        <v>2.3561000000000001</v>
      </c>
      <c r="P27" s="1">
        <v>0.89459999999999995</v>
      </c>
      <c r="Q27" s="1">
        <v>1.83E-2</v>
      </c>
      <c r="R27" s="1">
        <v>-7.1300000000000002E-2</v>
      </c>
      <c r="S27" s="1">
        <v>2.4299999999999999E-2</v>
      </c>
      <c r="T27" s="1">
        <v>1.9923999999999999</v>
      </c>
      <c r="U27" s="1">
        <v>2.7860999999999998</v>
      </c>
      <c r="V27" s="1">
        <v>2.1095000000000002</v>
      </c>
      <c r="W27" s="1">
        <v>100.5</v>
      </c>
      <c r="X27" s="1">
        <v>1</v>
      </c>
      <c r="Y27" s="1">
        <v>1.4220999999999999</v>
      </c>
      <c r="AA27" s="1">
        <v>0.25629999999999997</v>
      </c>
      <c r="AB27" s="1">
        <v>-0.29770000000000002</v>
      </c>
      <c r="AC27" s="1">
        <v>0.27539999999999998</v>
      </c>
      <c r="AD27" s="1">
        <v>4.1566000000000001</v>
      </c>
      <c r="AE27" s="1">
        <v>5.1585000000000001</v>
      </c>
      <c r="AF27" s="1">
        <v>2.4807000000000001</v>
      </c>
    </row>
    <row r="28" spans="1:32" x14ac:dyDescent="0.2">
      <c r="A28" s="1">
        <v>10</v>
      </c>
      <c r="B28" s="1">
        <v>1</v>
      </c>
      <c r="C28" s="1">
        <v>25.1</v>
      </c>
      <c r="D28" s="1">
        <v>1</v>
      </c>
      <c r="E28" s="1">
        <v>1.9754</v>
      </c>
      <c r="F28" s="1">
        <v>0.77739999999999998</v>
      </c>
      <c r="G28" s="1">
        <v>0.1028</v>
      </c>
      <c r="H28" s="1">
        <v>-7.3800000000000004E-2</v>
      </c>
      <c r="I28" s="1">
        <v>1.5E-3</v>
      </c>
      <c r="J28" s="1">
        <v>3.4588000000000001</v>
      </c>
      <c r="K28" s="1">
        <v>3.9344000000000001</v>
      </c>
      <c r="L28" s="1">
        <v>2.0807000000000002</v>
      </c>
      <c r="M28" s="1">
        <v>-55.1</v>
      </c>
      <c r="N28" s="1">
        <v>1</v>
      </c>
      <c r="O28" s="1">
        <v>2.3776999999999999</v>
      </c>
      <c r="P28" s="1">
        <v>0.89480000000000004</v>
      </c>
      <c r="Q28" s="1">
        <v>2.1299999999999999E-2</v>
      </c>
      <c r="R28" s="1">
        <v>-4.1099999999999998E-2</v>
      </c>
      <c r="S28" s="1">
        <v>2.5499999999999998E-2</v>
      </c>
      <c r="T28" s="1">
        <v>1.9953000000000001</v>
      </c>
      <c r="U28" s="1">
        <v>2.8492999999999999</v>
      </c>
      <c r="V28" s="1">
        <v>1.9080999999999999</v>
      </c>
      <c r="W28" s="1">
        <v>100.9</v>
      </c>
      <c r="X28" s="1">
        <v>1</v>
      </c>
      <c r="Y28" s="1">
        <v>1.496</v>
      </c>
      <c r="AA28" s="1">
        <v>0.40100000000000002</v>
      </c>
      <c r="AB28" s="1">
        <v>-0.43280000000000002</v>
      </c>
      <c r="AC28" s="1">
        <v>0.21529999999999999</v>
      </c>
      <c r="AD28" s="1">
        <v>4.0698999999999996</v>
      </c>
      <c r="AE28" s="1">
        <v>5.1576000000000004</v>
      </c>
      <c r="AF28" s="1">
        <v>2.2589000000000001</v>
      </c>
    </row>
    <row r="29" spans="1:32" x14ac:dyDescent="0.2">
      <c r="A29" s="1">
        <v>11</v>
      </c>
      <c r="B29" s="1">
        <v>1</v>
      </c>
      <c r="C29" s="1">
        <v>25.1</v>
      </c>
      <c r="D29" s="1">
        <v>1</v>
      </c>
      <c r="E29" s="1">
        <v>1.9515</v>
      </c>
      <c r="F29" s="1">
        <v>0.77569999999999995</v>
      </c>
      <c r="G29" s="1">
        <v>5.2400000000000002E-2</v>
      </c>
      <c r="H29" s="1">
        <v>-0.22409999999999999</v>
      </c>
      <c r="I29" s="1">
        <v>1.6000000000000001E-3</v>
      </c>
      <c r="J29" s="1">
        <v>3.4615</v>
      </c>
      <c r="K29" s="1">
        <v>3.8942999999999999</v>
      </c>
      <c r="L29" s="1">
        <v>2.1272000000000002</v>
      </c>
      <c r="M29" s="1">
        <v>-55.1</v>
      </c>
      <c r="N29" s="1">
        <v>1</v>
      </c>
      <c r="O29" s="1">
        <v>2.3662000000000001</v>
      </c>
      <c r="P29" s="1">
        <v>0.8962</v>
      </c>
      <c r="Q29" s="1">
        <v>2.7E-2</v>
      </c>
      <c r="R29" s="1">
        <v>-7.8E-2</v>
      </c>
      <c r="S29" s="1">
        <v>2.41E-2</v>
      </c>
      <c r="T29" s="1">
        <v>1.9836</v>
      </c>
      <c r="U29" s="1">
        <v>2.7848999999999999</v>
      </c>
      <c r="V29" s="1">
        <v>1.9515</v>
      </c>
      <c r="W29" s="1">
        <v>100.5</v>
      </c>
      <c r="X29" s="1">
        <v>1</v>
      </c>
      <c r="Y29" s="1">
        <v>1.4414</v>
      </c>
      <c r="AA29" s="1">
        <v>0.15740000000000001</v>
      </c>
      <c r="AB29" s="1">
        <v>-0.28499999999999998</v>
      </c>
      <c r="AC29" s="1">
        <v>0.27089999999999997</v>
      </c>
      <c r="AD29" s="1">
        <v>4.1256000000000004</v>
      </c>
      <c r="AE29" s="1">
        <v>5.1544999999999996</v>
      </c>
      <c r="AF29" s="1">
        <v>2.3126000000000002</v>
      </c>
    </row>
    <row r="30" spans="1:32" x14ac:dyDescent="0.2">
      <c r="A30" s="1">
        <v>12</v>
      </c>
      <c r="B30" s="1">
        <v>1</v>
      </c>
      <c r="C30" s="1">
        <v>25</v>
      </c>
      <c r="D30" s="1">
        <v>1</v>
      </c>
      <c r="E30" s="1">
        <v>2.1869000000000001</v>
      </c>
      <c r="F30" s="1">
        <v>0.78639999999999999</v>
      </c>
      <c r="G30" s="1">
        <v>0.38009999999999999</v>
      </c>
      <c r="H30" s="1">
        <v>-0.61890000000000001</v>
      </c>
      <c r="I30" s="1">
        <v>1.1000000000000001E-3</v>
      </c>
      <c r="J30" s="1">
        <v>3.3096999999999999</v>
      </c>
      <c r="K30" s="1">
        <v>3.8445999999999998</v>
      </c>
      <c r="L30" s="1">
        <v>1.7493000000000001</v>
      </c>
      <c r="M30" s="1">
        <v>-55.1</v>
      </c>
      <c r="N30" s="1">
        <v>1</v>
      </c>
      <c r="O30" s="1">
        <v>2.3997999999999999</v>
      </c>
      <c r="P30" s="1">
        <v>0.90139999999999998</v>
      </c>
      <c r="Q30" s="1">
        <v>0.30830000000000002</v>
      </c>
      <c r="R30" s="1">
        <v>-0.54490000000000005</v>
      </c>
      <c r="S30" s="1">
        <v>1.9699999999999999E-2</v>
      </c>
      <c r="T30" s="1">
        <v>1.266</v>
      </c>
      <c r="U30" s="1">
        <v>2.7042000000000002</v>
      </c>
      <c r="V30" s="1">
        <v>1.5906</v>
      </c>
      <c r="W30" s="1">
        <v>100.2</v>
      </c>
      <c r="X30" s="1">
        <v>1</v>
      </c>
      <c r="Y30" s="1">
        <v>1.6595</v>
      </c>
      <c r="AA30" s="1">
        <v>0.53720000000000001</v>
      </c>
      <c r="AB30" s="1">
        <v>-0.58799999999999997</v>
      </c>
      <c r="AC30" s="1">
        <v>0.18240000000000001</v>
      </c>
      <c r="AD30" s="1">
        <v>3.2440000000000002</v>
      </c>
      <c r="AE30" s="1">
        <v>4.8811</v>
      </c>
      <c r="AF30" s="1">
        <v>1.9059999999999999</v>
      </c>
    </row>
    <row r="31" spans="1:32" x14ac:dyDescent="0.2">
      <c r="A31" s="1">
        <v>13</v>
      </c>
      <c r="B31" s="1">
        <v>1</v>
      </c>
      <c r="C31" s="1">
        <v>25.1</v>
      </c>
      <c r="D31" s="1">
        <v>1</v>
      </c>
      <c r="E31" s="1">
        <v>1.9731000000000001</v>
      </c>
      <c r="F31" s="1">
        <v>0.78010000000000002</v>
      </c>
      <c r="G31" s="1">
        <v>0.27660000000000001</v>
      </c>
      <c r="H31" s="1">
        <v>-0.35970000000000002</v>
      </c>
      <c r="I31" s="1">
        <v>1.4E-3</v>
      </c>
      <c r="J31" s="1">
        <v>3.4458000000000002</v>
      </c>
      <c r="K31" s="1">
        <v>3.891</v>
      </c>
      <c r="L31" s="1">
        <v>1.9004000000000001</v>
      </c>
      <c r="M31" s="1">
        <v>-55.4</v>
      </c>
      <c r="N31" s="1">
        <v>1</v>
      </c>
      <c r="O31" s="1">
        <v>2.3832</v>
      </c>
      <c r="P31" s="1">
        <v>0.89659999999999995</v>
      </c>
      <c r="Q31" s="1">
        <v>9.1399999999999995E-2</v>
      </c>
      <c r="R31" s="1">
        <v>-3.4799999999999998E-2</v>
      </c>
      <c r="S31" s="1">
        <v>2.5700000000000001E-2</v>
      </c>
      <c r="T31" s="1">
        <v>1.9342999999999999</v>
      </c>
      <c r="U31" s="1">
        <v>2.8096999999999999</v>
      </c>
      <c r="V31" s="1">
        <v>1.736</v>
      </c>
      <c r="W31" s="1">
        <v>100.5</v>
      </c>
      <c r="X31" s="1">
        <v>1</v>
      </c>
      <c r="Y31" s="1">
        <v>1.4873000000000001</v>
      </c>
      <c r="AA31" s="1">
        <v>0.252</v>
      </c>
      <c r="AB31" s="1">
        <v>-0.51659999999999995</v>
      </c>
      <c r="AC31" s="1">
        <v>0.19670000000000001</v>
      </c>
      <c r="AD31" s="1">
        <v>4.0359999999999996</v>
      </c>
      <c r="AE31" s="1">
        <v>5.0838000000000001</v>
      </c>
      <c r="AF31" s="1">
        <v>2.0714000000000001</v>
      </c>
    </row>
    <row r="32" spans="1:32" x14ac:dyDescent="0.2">
      <c r="A32" s="1">
        <v>14</v>
      </c>
      <c r="B32" s="1">
        <v>1</v>
      </c>
      <c r="C32" s="1">
        <v>25</v>
      </c>
      <c r="D32" s="1">
        <v>1</v>
      </c>
      <c r="E32" s="1">
        <v>1.9367000000000001</v>
      </c>
      <c r="F32" s="1">
        <v>0.78059999999999996</v>
      </c>
      <c r="G32" s="1">
        <v>0.27339999999999998</v>
      </c>
      <c r="H32" s="1">
        <v>-0.13650000000000001</v>
      </c>
      <c r="I32" s="1">
        <v>1.4E-3</v>
      </c>
      <c r="J32" s="1">
        <v>3.4641999999999999</v>
      </c>
      <c r="K32" s="1">
        <v>4.0461999999999998</v>
      </c>
      <c r="L32" s="1">
        <v>1.9131</v>
      </c>
      <c r="M32" s="1">
        <v>-54.7</v>
      </c>
      <c r="N32" s="1">
        <v>1</v>
      </c>
      <c r="O32" s="1">
        <v>2.3456000000000001</v>
      </c>
      <c r="P32" s="1">
        <v>0.90049999999999997</v>
      </c>
      <c r="Q32" s="1">
        <v>6.8099999999999994E-2</v>
      </c>
      <c r="R32" s="1">
        <v>-3.8100000000000002E-2</v>
      </c>
      <c r="S32" s="1">
        <v>2.3699999999999999E-2</v>
      </c>
      <c r="T32" s="1">
        <v>1.9327000000000001</v>
      </c>
      <c r="U32" s="1">
        <v>2.9809000000000001</v>
      </c>
      <c r="V32" s="1">
        <v>1.7443</v>
      </c>
      <c r="W32" s="1">
        <v>100.2</v>
      </c>
      <c r="X32" s="1">
        <v>1</v>
      </c>
      <c r="Y32" s="1">
        <v>1.4497</v>
      </c>
      <c r="AA32" s="1">
        <v>0.1762</v>
      </c>
      <c r="AB32" s="1">
        <v>-0.3634</v>
      </c>
      <c r="AC32" s="1">
        <v>0.23180000000000001</v>
      </c>
      <c r="AD32" s="1">
        <v>4.0896999999999997</v>
      </c>
      <c r="AE32" s="1">
        <v>5.2469000000000001</v>
      </c>
      <c r="AF32" s="1">
        <v>2.0918000000000001</v>
      </c>
    </row>
    <row r="33" spans="1:32" x14ac:dyDescent="0.2">
      <c r="A33" s="1">
        <v>15</v>
      </c>
      <c r="B33" s="1">
        <v>1</v>
      </c>
      <c r="C33" s="1">
        <v>25</v>
      </c>
      <c r="D33" s="1">
        <v>1</v>
      </c>
      <c r="E33" s="1">
        <v>1.9118999999999999</v>
      </c>
      <c r="F33" s="1">
        <v>0.7742</v>
      </c>
      <c r="G33" s="1">
        <v>0.1164</v>
      </c>
      <c r="H33" s="1">
        <v>-0.1018</v>
      </c>
      <c r="I33" s="1">
        <v>1.6000000000000001E-3</v>
      </c>
      <c r="J33" s="1">
        <v>3.5541</v>
      </c>
      <c r="K33" s="1">
        <v>3.9390999999999998</v>
      </c>
      <c r="L33" s="1">
        <v>2.2881999999999998</v>
      </c>
      <c r="M33" s="1">
        <v>-55.1</v>
      </c>
      <c r="N33" s="1">
        <v>1</v>
      </c>
      <c r="O33" s="1">
        <v>2.3210000000000002</v>
      </c>
      <c r="P33" s="1">
        <v>0.89549999999999996</v>
      </c>
      <c r="Q33" s="1">
        <v>0.14729999999999999</v>
      </c>
      <c r="R33" s="1">
        <v>-4.48E-2</v>
      </c>
      <c r="S33" s="1">
        <v>2.5000000000000001E-2</v>
      </c>
      <c r="T33" s="1">
        <v>2.0124</v>
      </c>
      <c r="U33" s="1">
        <v>2.8073000000000001</v>
      </c>
      <c r="V33" s="1">
        <v>2.1105999999999998</v>
      </c>
      <c r="W33" s="1">
        <v>100.5</v>
      </c>
      <c r="X33" s="1">
        <v>1</v>
      </c>
      <c r="Y33" s="1">
        <v>1.4083000000000001</v>
      </c>
      <c r="AA33" s="1">
        <v>0.1961</v>
      </c>
      <c r="AB33" s="1">
        <v>-0.48620000000000002</v>
      </c>
      <c r="AC33" s="1">
        <v>0.25750000000000001</v>
      </c>
      <c r="AD33" s="1">
        <v>4.1886000000000001</v>
      </c>
      <c r="AE33" s="1">
        <v>5.1737000000000002</v>
      </c>
      <c r="AF33" s="1">
        <v>2.4794999999999998</v>
      </c>
    </row>
    <row r="34" spans="1:32" x14ac:dyDescent="0.2">
      <c r="A34" s="1">
        <v>16</v>
      </c>
      <c r="B34" s="1">
        <v>1</v>
      </c>
      <c r="C34" s="1">
        <v>25.1</v>
      </c>
      <c r="D34" s="1">
        <v>1</v>
      </c>
      <c r="E34" s="1">
        <v>2.0175999999999998</v>
      </c>
      <c r="F34" s="1">
        <v>0.77659999999999996</v>
      </c>
      <c r="G34" s="1">
        <v>0.1042</v>
      </c>
      <c r="H34" s="1">
        <v>-0.124</v>
      </c>
      <c r="I34" s="1">
        <v>1.5E-3</v>
      </c>
      <c r="J34" s="1">
        <v>3.4317000000000002</v>
      </c>
      <c r="K34" s="1">
        <v>3.9047999999999998</v>
      </c>
      <c r="L34" s="1">
        <v>2.0640000000000001</v>
      </c>
      <c r="M34" s="1">
        <v>-55.1</v>
      </c>
      <c r="N34" s="1">
        <v>1</v>
      </c>
      <c r="O34" s="1">
        <v>2.4733999999999998</v>
      </c>
      <c r="P34" s="1">
        <v>0.89929999999999999</v>
      </c>
      <c r="Q34" s="1">
        <v>0.26979999999999998</v>
      </c>
      <c r="R34" s="1">
        <v>-0.1812</v>
      </c>
      <c r="S34" s="1">
        <v>2.3900000000000001E-2</v>
      </c>
      <c r="T34" s="1">
        <v>1.9330000000000001</v>
      </c>
      <c r="U34" s="1">
        <v>2.7719</v>
      </c>
      <c r="V34" s="1">
        <v>1.887</v>
      </c>
      <c r="W34" s="1">
        <v>100.4</v>
      </c>
      <c r="X34" s="1">
        <v>1</v>
      </c>
      <c r="Y34" s="1">
        <v>1.4613</v>
      </c>
      <c r="AA34" s="1">
        <v>0.13650000000000001</v>
      </c>
      <c r="AB34" s="1">
        <v>-0.31509999999999999</v>
      </c>
      <c r="AC34" s="1">
        <v>0.31040000000000001</v>
      </c>
      <c r="AD34" s="1">
        <v>4.1078999999999999</v>
      </c>
      <c r="AE34" s="1">
        <v>5.1852</v>
      </c>
      <c r="AF34" s="1">
        <v>2.2522000000000002</v>
      </c>
    </row>
    <row r="35" spans="1:32" x14ac:dyDescent="0.2">
      <c r="A35" s="1">
        <v>17</v>
      </c>
      <c r="B35" s="1">
        <v>1</v>
      </c>
      <c r="C35" s="1">
        <v>25.2</v>
      </c>
      <c r="D35" s="1">
        <v>1</v>
      </c>
      <c r="E35" s="1">
        <v>1.9072</v>
      </c>
      <c r="F35" s="1">
        <v>0.77639999999999998</v>
      </c>
      <c r="G35" s="1">
        <v>0.15179999999999999</v>
      </c>
      <c r="H35" s="1">
        <v>-9.0300000000000005E-2</v>
      </c>
      <c r="I35" s="1">
        <v>1.4E-3</v>
      </c>
      <c r="J35" s="1">
        <v>3.5358000000000001</v>
      </c>
      <c r="K35" s="1">
        <v>4.0027999999999997</v>
      </c>
      <c r="L35" s="1">
        <v>2.1686999999999999</v>
      </c>
      <c r="M35" s="1">
        <v>-55.2</v>
      </c>
      <c r="N35" s="1">
        <v>1</v>
      </c>
      <c r="O35" s="1">
        <v>2.3163</v>
      </c>
      <c r="P35" s="1">
        <v>0.89900000000000002</v>
      </c>
      <c r="Q35" s="1">
        <v>0.20399999999999999</v>
      </c>
      <c r="R35" s="1">
        <v>-0.30859999999999999</v>
      </c>
      <c r="S35" s="1">
        <v>2.6200000000000001E-2</v>
      </c>
      <c r="T35" s="1">
        <v>1.9863999999999999</v>
      </c>
      <c r="U35" s="1">
        <v>2.8776000000000002</v>
      </c>
      <c r="V35" s="1">
        <v>1.9905999999999999</v>
      </c>
      <c r="W35" s="1">
        <v>100.8</v>
      </c>
      <c r="X35" s="1">
        <v>1</v>
      </c>
      <c r="Y35" s="1">
        <v>1.4051</v>
      </c>
      <c r="AA35" s="1">
        <v>0.15579999999999999</v>
      </c>
      <c r="AB35" s="1">
        <v>-0.29170000000000001</v>
      </c>
      <c r="AC35" s="1">
        <v>0.28439999999999999</v>
      </c>
      <c r="AD35" s="1">
        <v>4.1955999999999998</v>
      </c>
      <c r="AE35" s="1">
        <v>5.2667000000000002</v>
      </c>
      <c r="AF35" s="1">
        <v>2.3599000000000001</v>
      </c>
    </row>
    <row r="36" spans="1:32" x14ac:dyDescent="0.2">
      <c r="A36" s="1">
        <v>18</v>
      </c>
      <c r="B36" s="1">
        <v>1</v>
      </c>
      <c r="C36" s="1">
        <v>25.1</v>
      </c>
      <c r="D36" s="1">
        <v>1</v>
      </c>
      <c r="E36" s="1">
        <v>2.0670999999999999</v>
      </c>
      <c r="F36" s="1">
        <v>0.78149999999999997</v>
      </c>
      <c r="G36" s="1">
        <v>0.54649999999999999</v>
      </c>
      <c r="H36" s="1">
        <v>-0.58989999999999998</v>
      </c>
      <c r="I36" s="1">
        <v>1.2999999999999999E-3</v>
      </c>
      <c r="J36" s="1">
        <v>3.4428000000000001</v>
      </c>
      <c r="K36" s="1">
        <v>3.6616</v>
      </c>
      <c r="L36" s="1">
        <v>2.0021</v>
      </c>
      <c r="M36" s="1">
        <v>-55.1</v>
      </c>
      <c r="N36" s="1">
        <v>1</v>
      </c>
      <c r="O36" s="1">
        <v>2.3994</v>
      </c>
      <c r="P36" s="1">
        <v>0.90169999999999995</v>
      </c>
      <c r="Q36" s="1">
        <v>0.47620000000000001</v>
      </c>
      <c r="R36" s="1">
        <v>-0.51729999999999998</v>
      </c>
      <c r="S36" s="1">
        <v>2.2499999999999999E-2</v>
      </c>
      <c r="T36" s="1">
        <v>1.2369000000000001</v>
      </c>
      <c r="U36" s="1">
        <v>2.5642999999999998</v>
      </c>
      <c r="V36" s="1">
        <v>1.8273999999999999</v>
      </c>
      <c r="W36" s="1">
        <v>100.5</v>
      </c>
      <c r="X36" s="1">
        <v>1</v>
      </c>
      <c r="Y36" s="1">
        <v>1.5196000000000001</v>
      </c>
      <c r="AA36" s="1">
        <v>0.65869999999999995</v>
      </c>
      <c r="AB36" s="1">
        <v>-0.61899999999999999</v>
      </c>
      <c r="AC36" s="1">
        <v>0.23400000000000001</v>
      </c>
      <c r="AD36" s="1">
        <v>3.4205999999999999</v>
      </c>
      <c r="AE36" s="1">
        <v>4.9009999999999998</v>
      </c>
      <c r="AF36" s="1">
        <v>2.1823000000000001</v>
      </c>
    </row>
    <row r="37" spans="1:32" x14ac:dyDescent="0.2">
      <c r="A37" s="1">
        <v>20</v>
      </c>
      <c r="B37" s="1">
        <v>1</v>
      </c>
      <c r="C37" s="1">
        <v>25.1</v>
      </c>
      <c r="D37" s="1">
        <v>1</v>
      </c>
      <c r="E37" s="1">
        <v>2.0026999999999999</v>
      </c>
      <c r="F37" s="1">
        <v>0.77710000000000001</v>
      </c>
      <c r="G37" s="1">
        <v>0.3281</v>
      </c>
      <c r="H37" s="1">
        <v>-0.3251</v>
      </c>
      <c r="I37" s="1">
        <v>1.6999999999999999E-3</v>
      </c>
      <c r="J37" s="1">
        <v>3.4998999999999998</v>
      </c>
      <c r="K37" s="1">
        <v>3.9236</v>
      </c>
      <c r="L37" s="1">
        <v>2.149</v>
      </c>
      <c r="M37" s="1">
        <v>-55.3</v>
      </c>
      <c r="N37" s="1">
        <v>1</v>
      </c>
      <c r="O37" s="1">
        <v>2.4573</v>
      </c>
      <c r="P37" s="1">
        <v>0.9002</v>
      </c>
      <c r="Q37" s="1">
        <v>5.45E-2</v>
      </c>
      <c r="R37" s="1">
        <v>-1.3899999999999999E-2</v>
      </c>
      <c r="S37" s="1">
        <v>2.5700000000000001E-2</v>
      </c>
      <c r="T37" s="1">
        <v>1.9810000000000001</v>
      </c>
      <c r="U37" s="1">
        <v>2.7766000000000002</v>
      </c>
      <c r="V37" s="1">
        <v>1.9705999999999999</v>
      </c>
      <c r="W37" s="1">
        <v>100.3</v>
      </c>
      <c r="X37" s="1">
        <v>1</v>
      </c>
      <c r="Y37" s="1">
        <v>1.4442999999999999</v>
      </c>
      <c r="AA37" s="1">
        <v>0.30259999999999998</v>
      </c>
      <c r="AB37" s="1">
        <v>-0.25669999999999998</v>
      </c>
      <c r="AC37" s="1">
        <v>0.31359999999999999</v>
      </c>
      <c r="AD37" s="1">
        <v>4.1924999999999999</v>
      </c>
      <c r="AE37" s="1">
        <v>5.2007000000000003</v>
      </c>
      <c r="AF37" s="1">
        <v>2.3426</v>
      </c>
    </row>
    <row r="38" spans="1:32" x14ac:dyDescent="0.2">
      <c r="A38" s="1">
        <v>21</v>
      </c>
      <c r="B38" s="1">
        <v>1</v>
      </c>
      <c r="C38" s="1">
        <v>25.1</v>
      </c>
      <c r="D38" s="1">
        <v>1</v>
      </c>
      <c r="E38" s="1">
        <v>2.1055000000000001</v>
      </c>
      <c r="F38" s="1">
        <v>0.78349999999999997</v>
      </c>
      <c r="G38" s="1">
        <v>0.42259999999999998</v>
      </c>
      <c r="H38" s="1">
        <v>-0.64029999999999998</v>
      </c>
      <c r="I38" s="1">
        <v>1.4E-3</v>
      </c>
      <c r="J38" s="1">
        <v>3.4693000000000001</v>
      </c>
      <c r="K38" s="1">
        <v>3.6581000000000001</v>
      </c>
      <c r="L38" s="1">
        <v>1.8048</v>
      </c>
      <c r="M38" s="1">
        <v>-55.2</v>
      </c>
      <c r="N38" s="1">
        <v>1</v>
      </c>
      <c r="O38" s="1">
        <v>2.3993000000000002</v>
      </c>
      <c r="P38" s="1">
        <v>0.90210000000000001</v>
      </c>
      <c r="Q38" s="1">
        <v>0.36299999999999999</v>
      </c>
      <c r="R38" s="1">
        <v>-0.34429999999999999</v>
      </c>
      <c r="S38" s="1">
        <v>2.0299999999999999E-2</v>
      </c>
      <c r="T38" s="1">
        <v>1.2085999999999999</v>
      </c>
      <c r="U38" s="1">
        <v>2.5657000000000001</v>
      </c>
      <c r="V38" s="1">
        <v>1.6406000000000001</v>
      </c>
      <c r="W38" s="1">
        <v>100.5</v>
      </c>
      <c r="X38" s="1">
        <v>1</v>
      </c>
      <c r="Y38" s="1">
        <v>1.5457000000000001</v>
      </c>
      <c r="AA38" s="1">
        <v>0.51649999999999996</v>
      </c>
      <c r="AB38" s="1">
        <v>-0.748</v>
      </c>
      <c r="AC38" s="1">
        <v>0.24340000000000001</v>
      </c>
      <c r="AD38" s="1">
        <v>3.419</v>
      </c>
      <c r="AE38" s="1">
        <v>4.8604000000000003</v>
      </c>
      <c r="AF38" s="1">
        <v>1.9649000000000001</v>
      </c>
    </row>
    <row r="39" spans="1:32" x14ac:dyDescent="0.2">
      <c r="A39" s="1">
        <v>22</v>
      </c>
      <c r="B39" s="1">
        <v>1</v>
      </c>
      <c r="C39" s="1">
        <v>25.1</v>
      </c>
      <c r="D39" s="1">
        <v>1</v>
      </c>
      <c r="E39" s="1">
        <v>1.9842</v>
      </c>
      <c r="F39" s="1">
        <v>0.77510000000000001</v>
      </c>
      <c r="G39" s="1">
        <v>0.21340000000000001</v>
      </c>
      <c r="H39" s="1">
        <v>-0.34150000000000003</v>
      </c>
      <c r="I39" s="1">
        <v>1.4E-3</v>
      </c>
      <c r="J39" s="1">
        <v>3.46</v>
      </c>
      <c r="K39" s="1">
        <v>3.8635999999999999</v>
      </c>
      <c r="L39" s="1">
        <v>2.101</v>
      </c>
      <c r="M39" s="1">
        <v>-55</v>
      </c>
      <c r="N39" s="1">
        <v>1</v>
      </c>
      <c r="O39" s="1">
        <v>2.4043000000000001</v>
      </c>
      <c r="P39" s="1">
        <v>0.89180000000000004</v>
      </c>
      <c r="Q39" s="1">
        <v>20.397300000000001</v>
      </c>
      <c r="R39" s="1">
        <v>-95.457700000000003</v>
      </c>
      <c r="S39" s="1">
        <v>2.4799999999999999E-2</v>
      </c>
      <c r="T39" s="1">
        <v>1.9730000000000001</v>
      </c>
      <c r="U39" s="1">
        <v>2.7951000000000001</v>
      </c>
      <c r="V39" s="1">
        <v>1.9308000000000001</v>
      </c>
      <c r="W39" s="1">
        <v>100.6</v>
      </c>
      <c r="X39" s="1">
        <v>1</v>
      </c>
      <c r="Y39" s="1">
        <v>1.4847999999999999</v>
      </c>
      <c r="AA39" s="1">
        <v>0.16539999999999999</v>
      </c>
      <c r="AB39" s="1">
        <v>-0.25869999999999999</v>
      </c>
      <c r="AC39" s="1">
        <v>0.1956</v>
      </c>
      <c r="AD39" s="1">
        <v>3.9781</v>
      </c>
      <c r="AE39" s="1">
        <v>5.0814000000000004</v>
      </c>
      <c r="AF39" s="1">
        <v>2.2764000000000002</v>
      </c>
    </row>
    <row r="40" spans="1:32" x14ac:dyDescent="0.2">
      <c r="A40" s="1">
        <v>23</v>
      </c>
      <c r="B40" s="1">
        <v>1</v>
      </c>
      <c r="C40" s="1">
        <v>25</v>
      </c>
      <c r="D40" s="1">
        <v>1</v>
      </c>
      <c r="E40" s="1">
        <v>2.0743</v>
      </c>
      <c r="F40" s="1">
        <v>0.78049999999999997</v>
      </c>
      <c r="G40" s="1">
        <v>0.3886</v>
      </c>
      <c r="H40" s="1">
        <v>-0.40010000000000001</v>
      </c>
      <c r="I40" s="1">
        <v>1.5E-3</v>
      </c>
      <c r="J40" s="1">
        <v>3.3188</v>
      </c>
      <c r="K40" s="1">
        <v>3.7214999999999998</v>
      </c>
      <c r="L40" s="1">
        <v>1.9751000000000001</v>
      </c>
      <c r="M40" s="1">
        <v>-55.2</v>
      </c>
      <c r="N40" s="1">
        <v>1</v>
      </c>
      <c r="O40" s="1">
        <v>2.4001000000000001</v>
      </c>
      <c r="P40" s="1">
        <v>0.90049999999999997</v>
      </c>
      <c r="Q40" s="1">
        <v>0.33560000000000001</v>
      </c>
      <c r="R40" s="1">
        <v>-0.54749999999999999</v>
      </c>
      <c r="S40" s="1">
        <v>2.0400000000000001E-2</v>
      </c>
      <c r="T40" s="1">
        <v>1.4059999999999999</v>
      </c>
      <c r="U40" s="1">
        <v>2.6089000000000002</v>
      </c>
      <c r="V40" s="1">
        <v>1.8033999999999999</v>
      </c>
      <c r="W40" s="1">
        <v>100.2</v>
      </c>
      <c r="X40" s="1">
        <v>1</v>
      </c>
      <c r="Y40" s="1">
        <v>1.5322</v>
      </c>
      <c r="AA40" s="1">
        <v>0.55700000000000005</v>
      </c>
      <c r="AB40" s="1">
        <v>-0.79590000000000005</v>
      </c>
      <c r="AC40" s="1">
        <v>0.24010000000000001</v>
      </c>
      <c r="AD40" s="1">
        <v>3.3250999999999999</v>
      </c>
      <c r="AE40" s="1">
        <v>4.7870999999999997</v>
      </c>
      <c r="AF40" s="1">
        <v>2.1524999999999999</v>
      </c>
    </row>
    <row r="41" spans="1:32" x14ac:dyDescent="0.2">
      <c r="A41" s="1">
        <v>24</v>
      </c>
      <c r="B41" s="1">
        <v>1</v>
      </c>
      <c r="C41" s="1">
        <v>25.1</v>
      </c>
      <c r="D41" s="1">
        <v>1</v>
      </c>
      <c r="E41" s="1">
        <v>2.0312999999999999</v>
      </c>
      <c r="F41" s="1">
        <v>0.77480000000000004</v>
      </c>
      <c r="G41" s="1">
        <v>5.3600000000000002E-2</v>
      </c>
      <c r="H41" s="1">
        <v>-0.1133</v>
      </c>
      <c r="I41" s="1">
        <v>1.5E-3</v>
      </c>
      <c r="J41" s="1">
        <v>3.4704000000000002</v>
      </c>
      <c r="K41" s="1">
        <v>3.9232999999999998</v>
      </c>
      <c r="L41" s="1">
        <v>2.2298</v>
      </c>
      <c r="M41" s="1">
        <v>-55</v>
      </c>
      <c r="N41" s="1">
        <v>1</v>
      </c>
      <c r="O41" s="1">
        <v>2.476</v>
      </c>
      <c r="P41" s="1">
        <v>0.89749999999999996</v>
      </c>
      <c r="Q41" s="1">
        <v>0.11509999999999999</v>
      </c>
      <c r="R41" s="1">
        <v>-5.5100000000000003E-2</v>
      </c>
      <c r="S41" s="1">
        <v>2.4799999999999999E-2</v>
      </c>
      <c r="T41" s="1">
        <v>1.9617</v>
      </c>
      <c r="U41" s="1">
        <v>2.798</v>
      </c>
      <c r="V41" s="1">
        <v>2.0512999999999999</v>
      </c>
      <c r="W41" s="1">
        <v>100.4</v>
      </c>
      <c r="X41" s="1">
        <v>1</v>
      </c>
      <c r="Y41" s="1">
        <v>1.486</v>
      </c>
      <c r="AA41" s="1">
        <v>0.21</v>
      </c>
      <c r="AB41" s="1">
        <v>-0.46029999999999999</v>
      </c>
      <c r="AC41" s="1">
        <v>0.26319999999999999</v>
      </c>
      <c r="AD41" s="1">
        <v>4.1223999999999998</v>
      </c>
      <c r="AE41" s="1">
        <v>5.1947999999999999</v>
      </c>
      <c r="AF41" s="1">
        <v>2.4237000000000002</v>
      </c>
    </row>
    <row r="42" spans="1:32" x14ac:dyDescent="0.2">
      <c r="A42" s="1">
        <v>25</v>
      </c>
      <c r="B42" s="1">
        <v>1</v>
      </c>
      <c r="C42" s="1">
        <v>25.1</v>
      </c>
      <c r="D42" s="1">
        <v>1</v>
      </c>
      <c r="E42" s="1">
        <v>1.9209000000000001</v>
      </c>
      <c r="F42" s="1">
        <v>0.77390000000000003</v>
      </c>
      <c r="G42" s="1">
        <v>0.28720000000000001</v>
      </c>
      <c r="H42" s="1">
        <v>-0.16769999999999999</v>
      </c>
      <c r="I42" s="1">
        <v>1.5E-3</v>
      </c>
      <c r="J42" s="1">
        <v>3.5148999999999999</v>
      </c>
      <c r="K42" s="1">
        <v>3.9043999999999999</v>
      </c>
      <c r="L42" s="1">
        <v>2.2949999999999999</v>
      </c>
      <c r="M42" s="1">
        <v>-55</v>
      </c>
      <c r="N42" s="1">
        <v>1</v>
      </c>
      <c r="O42" s="1">
        <v>2.3374000000000001</v>
      </c>
      <c r="P42" s="1">
        <v>0.89480000000000004</v>
      </c>
      <c r="Q42" s="1">
        <v>0.15790000000000001</v>
      </c>
      <c r="R42" s="1">
        <v>-0.12239999999999999</v>
      </c>
      <c r="S42" s="1">
        <v>2.5999999999999999E-2</v>
      </c>
      <c r="T42" s="1">
        <v>1.9997</v>
      </c>
      <c r="U42" s="1">
        <v>2.7833999999999999</v>
      </c>
      <c r="V42" s="1">
        <v>2.1181999999999999</v>
      </c>
      <c r="W42" s="1">
        <v>99.8</v>
      </c>
      <c r="X42" s="1">
        <v>1</v>
      </c>
      <c r="Y42" s="1">
        <v>1.4218</v>
      </c>
      <c r="AA42" s="1">
        <v>0.36759999999999998</v>
      </c>
      <c r="AB42" s="1">
        <v>-0.55130000000000001</v>
      </c>
      <c r="AC42" s="1">
        <v>0.2346</v>
      </c>
      <c r="AD42" s="1">
        <v>4.1841999999999997</v>
      </c>
      <c r="AE42" s="1">
        <v>5.1623999999999999</v>
      </c>
      <c r="AF42" s="1">
        <v>2.4826000000000001</v>
      </c>
    </row>
    <row r="43" spans="1:32" x14ac:dyDescent="0.2">
      <c r="A43" s="1">
        <v>26</v>
      </c>
      <c r="B43" s="1">
        <v>1</v>
      </c>
      <c r="C43" s="1">
        <v>25.1</v>
      </c>
      <c r="D43" s="1">
        <v>1</v>
      </c>
      <c r="E43" s="1">
        <v>1.9182999999999999</v>
      </c>
      <c r="F43" s="1">
        <v>0.7732</v>
      </c>
      <c r="G43" s="1">
        <v>0.33400000000000002</v>
      </c>
      <c r="H43" s="1">
        <v>-0.26219999999999999</v>
      </c>
      <c r="I43" s="1">
        <v>1.4E-3</v>
      </c>
      <c r="J43" s="1">
        <v>3.5590999999999999</v>
      </c>
      <c r="K43" s="1">
        <v>3.9089999999999998</v>
      </c>
      <c r="L43" s="1">
        <v>2.2930000000000001</v>
      </c>
      <c r="M43" s="1">
        <v>-55.1</v>
      </c>
      <c r="N43" s="1">
        <v>1</v>
      </c>
      <c r="O43" s="1">
        <v>2.3559000000000001</v>
      </c>
      <c r="P43" s="1">
        <v>0.89780000000000004</v>
      </c>
      <c r="Q43" s="1">
        <v>0.17749999999999999</v>
      </c>
      <c r="R43" s="1">
        <v>-3.3500000000000002E-2</v>
      </c>
      <c r="S43" s="1">
        <v>2.4799999999999999E-2</v>
      </c>
      <c r="T43" s="1">
        <v>1.9769000000000001</v>
      </c>
      <c r="U43" s="1">
        <v>2.758</v>
      </c>
      <c r="V43" s="1">
        <v>2.1116999999999999</v>
      </c>
      <c r="W43" s="1">
        <v>100.4</v>
      </c>
      <c r="X43" s="1">
        <v>1</v>
      </c>
      <c r="Y43" s="1">
        <v>1.3723000000000001</v>
      </c>
      <c r="AA43" s="1">
        <v>0.25740000000000002</v>
      </c>
      <c r="AB43" s="1">
        <v>-0.26769999999999999</v>
      </c>
      <c r="AC43" s="1">
        <v>0.34620000000000001</v>
      </c>
      <c r="AD43" s="1">
        <v>4.2279</v>
      </c>
      <c r="AE43" s="1">
        <v>5.1992000000000003</v>
      </c>
      <c r="AF43" s="1">
        <v>2.4923999999999999</v>
      </c>
    </row>
    <row r="44" spans="1:32" x14ac:dyDescent="0.2">
      <c r="A44" s="1">
        <v>27</v>
      </c>
      <c r="B44" s="1">
        <v>1</v>
      </c>
      <c r="C44" s="1">
        <v>25</v>
      </c>
      <c r="D44" s="1">
        <v>1</v>
      </c>
      <c r="E44" s="1">
        <v>2.1029</v>
      </c>
      <c r="F44" s="1">
        <v>0.78200000000000003</v>
      </c>
      <c r="G44" s="1">
        <v>0.55069999999999997</v>
      </c>
      <c r="H44" s="1">
        <v>-0.63019999999999998</v>
      </c>
      <c r="I44" s="1">
        <v>1.1999999999999999E-3</v>
      </c>
      <c r="J44" s="1">
        <v>3.3075999999999999</v>
      </c>
      <c r="K44" s="1">
        <v>3.6486000000000001</v>
      </c>
      <c r="L44" s="1">
        <v>1.9045000000000001</v>
      </c>
      <c r="M44" s="1">
        <v>-55.2</v>
      </c>
      <c r="N44" s="1">
        <v>1</v>
      </c>
      <c r="O44" s="1">
        <v>2.3994</v>
      </c>
      <c r="P44" s="1">
        <v>0.89990000000000003</v>
      </c>
      <c r="Q44" s="1">
        <v>0.51229999999999998</v>
      </c>
      <c r="R44" s="1">
        <v>-0.4657</v>
      </c>
      <c r="S44" s="1">
        <v>1.89E-2</v>
      </c>
      <c r="T44" s="1">
        <v>1.2304999999999999</v>
      </c>
      <c r="U44" s="1">
        <v>2.5306999999999999</v>
      </c>
      <c r="V44" s="1">
        <v>1.7379</v>
      </c>
      <c r="W44" s="1">
        <v>100.7</v>
      </c>
      <c r="X44" s="1">
        <v>1</v>
      </c>
      <c r="Y44" s="1">
        <v>1.5572999999999999</v>
      </c>
      <c r="AA44" s="1">
        <v>0.45789999999999997</v>
      </c>
      <c r="AB44" s="1">
        <v>-0.59919999999999995</v>
      </c>
      <c r="AC44" s="1">
        <v>0.22459999999999999</v>
      </c>
      <c r="AD44" s="1">
        <v>3.2240000000000002</v>
      </c>
      <c r="AE44" s="1">
        <v>4.8608000000000002</v>
      </c>
      <c r="AF44" s="1">
        <v>2.0779000000000001</v>
      </c>
    </row>
    <row r="45" spans="1:32" x14ac:dyDescent="0.2">
      <c r="A45" s="1">
        <v>28</v>
      </c>
      <c r="B45" s="1">
        <v>1</v>
      </c>
      <c r="C45" s="1">
        <v>25</v>
      </c>
      <c r="D45" s="1">
        <v>1</v>
      </c>
      <c r="E45" s="1">
        <v>2.0051999999999999</v>
      </c>
      <c r="F45" s="1">
        <v>0.77629999999999999</v>
      </c>
      <c r="G45" s="1">
        <v>0.31840000000000002</v>
      </c>
      <c r="H45" s="1">
        <v>-0.31929999999999997</v>
      </c>
      <c r="I45" s="1">
        <v>1.5E-3</v>
      </c>
      <c r="J45" s="1">
        <v>3.4653999999999998</v>
      </c>
      <c r="K45" s="1">
        <v>3.8780999999999999</v>
      </c>
      <c r="L45" s="1">
        <v>2.0893999999999999</v>
      </c>
      <c r="M45" s="1">
        <v>-54.9</v>
      </c>
      <c r="N45" s="1">
        <v>1</v>
      </c>
      <c r="O45" s="1">
        <v>2.4413</v>
      </c>
      <c r="P45" s="1">
        <v>0.89849999999999997</v>
      </c>
      <c r="Q45" s="1">
        <v>0.19689999999999999</v>
      </c>
      <c r="R45" s="1">
        <v>-0.29580000000000001</v>
      </c>
      <c r="S45" s="1">
        <v>2.64E-2</v>
      </c>
      <c r="T45" s="1">
        <v>1.9601</v>
      </c>
      <c r="U45" s="1">
        <v>2.7675999999999998</v>
      </c>
      <c r="V45" s="1">
        <v>1.9109</v>
      </c>
      <c r="W45" s="1">
        <v>100.6</v>
      </c>
      <c r="X45" s="1">
        <v>1</v>
      </c>
      <c r="Y45" s="1">
        <v>1.4693000000000001</v>
      </c>
      <c r="AA45" s="1">
        <v>0.22370000000000001</v>
      </c>
      <c r="AB45" s="1">
        <v>-0.40350000000000003</v>
      </c>
      <c r="AC45" s="1">
        <v>0.27810000000000001</v>
      </c>
      <c r="AD45" s="1">
        <v>4.0763999999999996</v>
      </c>
      <c r="AE45" s="1">
        <v>5.1223000000000001</v>
      </c>
      <c r="AF45" s="1">
        <v>2.2764000000000002</v>
      </c>
    </row>
    <row r="46" spans="1:32" x14ac:dyDescent="0.2">
      <c r="A46" s="1">
        <v>29</v>
      </c>
      <c r="B46" s="1">
        <v>1</v>
      </c>
      <c r="C46" s="1">
        <v>25.2</v>
      </c>
      <c r="D46" s="1">
        <v>1</v>
      </c>
      <c r="E46" s="1">
        <v>1.9863</v>
      </c>
      <c r="F46" s="1">
        <v>0.77449999999999997</v>
      </c>
      <c r="G46" s="1">
        <v>0.23519999999999999</v>
      </c>
      <c r="H46" s="1">
        <v>-0.35599999999999998</v>
      </c>
      <c r="I46" s="1">
        <v>1.5E-3</v>
      </c>
      <c r="J46" s="1">
        <v>3.4752000000000001</v>
      </c>
      <c r="K46" s="1">
        <v>3.8643999999999998</v>
      </c>
      <c r="L46" s="1">
        <v>2.1482999999999999</v>
      </c>
      <c r="M46" s="1">
        <v>-54.9</v>
      </c>
      <c r="N46" s="1">
        <v>1</v>
      </c>
      <c r="O46" s="1">
        <v>2.4304000000000001</v>
      </c>
      <c r="P46" s="1">
        <v>0.89870000000000005</v>
      </c>
      <c r="Q46" s="1">
        <v>6.9599999999999995E-2</v>
      </c>
      <c r="R46" s="1">
        <v>-6.4100000000000004E-2</v>
      </c>
      <c r="S46" s="1">
        <v>2.47E-2</v>
      </c>
      <c r="T46" s="1">
        <v>1.9281999999999999</v>
      </c>
      <c r="U46" s="1">
        <v>2.7509000000000001</v>
      </c>
      <c r="V46" s="1">
        <v>1.9676</v>
      </c>
      <c r="W46" s="1">
        <v>100.4</v>
      </c>
      <c r="X46" s="1">
        <v>1</v>
      </c>
      <c r="Y46" s="1">
        <v>1.4381999999999999</v>
      </c>
      <c r="AA46" s="1">
        <v>0.40920000000000001</v>
      </c>
      <c r="AB46" s="1">
        <v>-0.39489999999999997</v>
      </c>
      <c r="AC46" s="1">
        <v>0.33650000000000002</v>
      </c>
      <c r="AD46" s="1">
        <v>4.1029</v>
      </c>
      <c r="AE46" s="1">
        <v>5.1725000000000003</v>
      </c>
      <c r="AF46" s="1">
        <v>2.3431000000000002</v>
      </c>
    </row>
    <row r="47" spans="1:32" x14ac:dyDescent="0.2">
      <c r="A47" s="1">
        <v>30</v>
      </c>
      <c r="B47" s="1">
        <v>1</v>
      </c>
      <c r="C47" s="1">
        <v>25.2</v>
      </c>
      <c r="D47" s="1">
        <v>1</v>
      </c>
      <c r="E47" s="1">
        <v>1.9235</v>
      </c>
      <c r="F47" s="1">
        <v>0.77410000000000001</v>
      </c>
      <c r="G47" s="1">
        <v>0.31869999999999998</v>
      </c>
      <c r="H47" s="1">
        <v>-0.26790000000000003</v>
      </c>
      <c r="I47" s="1">
        <v>1.5E-3</v>
      </c>
      <c r="J47" s="1">
        <v>3.5314999999999999</v>
      </c>
      <c r="K47" s="1">
        <v>3.8872</v>
      </c>
      <c r="L47" s="1">
        <v>2.2625999999999999</v>
      </c>
      <c r="M47" s="1">
        <v>-54.7</v>
      </c>
      <c r="N47" s="1">
        <v>1</v>
      </c>
      <c r="O47" s="1">
        <v>2.3628</v>
      </c>
      <c r="P47" s="1">
        <v>0.89639999999999997</v>
      </c>
      <c r="Q47" s="1">
        <v>7.4099999999999999E-2</v>
      </c>
      <c r="R47" s="1">
        <v>-0.2235</v>
      </c>
      <c r="S47" s="1">
        <v>2.4500000000000001E-2</v>
      </c>
      <c r="T47" s="1">
        <v>2.0160999999999998</v>
      </c>
      <c r="U47" s="1">
        <v>2.7595000000000001</v>
      </c>
      <c r="V47" s="1">
        <v>2.0836000000000001</v>
      </c>
      <c r="W47" s="1">
        <v>100</v>
      </c>
      <c r="X47" s="1">
        <v>1</v>
      </c>
      <c r="Y47" s="1">
        <v>1.3932</v>
      </c>
      <c r="AA47" s="1">
        <v>0.41289999999999999</v>
      </c>
      <c r="AB47" s="1">
        <v>-0.41949999999999998</v>
      </c>
      <c r="AC47" s="1">
        <v>0.28220000000000001</v>
      </c>
      <c r="AD47" s="1">
        <v>4.2058</v>
      </c>
      <c r="AE47" s="1">
        <v>5.1605999999999996</v>
      </c>
      <c r="AF47" s="1">
        <v>2.4548999999999999</v>
      </c>
    </row>
    <row r="48" spans="1:32" x14ac:dyDescent="0.2">
      <c r="A48" s="1">
        <v>31</v>
      </c>
      <c r="B48" s="1">
        <v>1</v>
      </c>
      <c r="C48" s="1">
        <v>25.1</v>
      </c>
      <c r="D48" s="1">
        <v>1</v>
      </c>
      <c r="E48" s="1">
        <v>1.9650000000000001</v>
      </c>
      <c r="F48" s="1">
        <v>0.78320000000000001</v>
      </c>
      <c r="G48" s="1">
        <v>0.30759999999999998</v>
      </c>
      <c r="H48" s="1">
        <v>-0.34889999999999999</v>
      </c>
      <c r="I48" s="1">
        <v>1.5E-3</v>
      </c>
      <c r="J48" s="1">
        <v>3.4445000000000001</v>
      </c>
      <c r="K48" s="1">
        <v>4.3019999999999996</v>
      </c>
      <c r="L48" s="1">
        <v>1.8404</v>
      </c>
      <c r="M48" s="1">
        <v>-55.2</v>
      </c>
      <c r="N48" s="1">
        <v>1</v>
      </c>
      <c r="O48" s="1">
        <v>2.3801000000000001</v>
      </c>
      <c r="P48" s="1">
        <v>0.90339999999999998</v>
      </c>
      <c r="Q48" s="1">
        <v>0.23549999999999999</v>
      </c>
      <c r="R48" s="1">
        <v>-0.1767</v>
      </c>
      <c r="S48" s="1">
        <v>2.5100000000000001E-2</v>
      </c>
      <c r="T48" s="1">
        <v>1.9543999999999999</v>
      </c>
      <c r="U48" s="1">
        <v>3.1909000000000001</v>
      </c>
      <c r="V48" s="1">
        <v>1.6718999999999999</v>
      </c>
      <c r="W48" s="1">
        <v>100.3</v>
      </c>
      <c r="X48" s="1">
        <v>1</v>
      </c>
      <c r="Y48" s="1">
        <v>1.4648000000000001</v>
      </c>
      <c r="AA48" s="1">
        <v>0.37409999999999999</v>
      </c>
      <c r="AB48" s="1">
        <v>-0.35420000000000001</v>
      </c>
      <c r="AC48" s="1">
        <v>0.24790000000000001</v>
      </c>
      <c r="AD48" s="1">
        <v>4.0762</v>
      </c>
      <c r="AE48" s="1">
        <v>5.4442000000000004</v>
      </c>
      <c r="AF48" s="1">
        <v>2.0158</v>
      </c>
    </row>
    <row r="49" spans="1:32" x14ac:dyDescent="0.2">
      <c r="A49" s="1">
        <v>32</v>
      </c>
      <c r="B49" s="1">
        <v>1</v>
      </c>
      <c r="C49" s="1">
        <v>25.1</v>
      </c>
      <c r="D49" s="1">
        <v>1</v>
      </c>
      <c r="E49" s="1">
        <v>2.0400999999999998</v>
      </c>
      <c r="F49" s="1">
        <v>0.78120000000000001</v>
      </c>
      <c r="G49" s="1">
        <v>7.0999999999999994E-2</v>
      </c>
      <c r="H49" s="1">
        <v>-0.1396</v>
      </c>
      <c r="I49" s="1">
        <v>1.2999999999999999E-3</v>
      </c>
      <c r="J49" s="1">
        <v>3.4533999999999998</v>
      </c>
      <c r="K49" s="1">
        <v>3.8551000000000002</v>
      </c>
      <c r="L49" s="1">
        <v>1.8282</v>
      </c>
      <c r="M49" s="1">
        <v>-55.4</v>
      </c>
      <c r="N49" s="1">
        <v>1</v>
      </c>
      <c r="O49" s="1">
        <v>2.4830000000000001</v>
      </c>
      <c r="P49" s="1">
        <v>0.90010000000000001</v>
      </c>
      <c r="Q49" s="1">
        <v>0.2437</v>
      </c>
      <c r="R49" s="1">
        <v>-0.2888</v>
      </c>
      <c r="S49" s="1">
        <v>2.4299999999999999E-2</v>
      </c>
      <c r="T49" s="1">
        <v>1.9373</v>
      </c>
      <c r="U49" s="1">
        <v>2.7576000000000001</v>
      </c>
      <c r="V49" s="1">
        <v>1.6612</v>
      </c>
      <c r="W49" s="1">
        <v>100.1</v>
      </c>
      <c r="X49" s="1">
        <v>1</v>
      </c>
      <c r="Y49" s="1">
        <v>1.5107999999999999</v>
      </c>
      <c r="AA49" s="1">
        <v>0.218</v>
      </c>
      <c r="AB49" s="1">
        <v>-0.26219999999999999</v>
      </c>
      <c r="AC49" s="1">
        <v>0.23499999999999999</v>
      </c>
      <c r="AD49" s="1">
        <v>4.0275999999999996</v>
      </c>
      <c r="AE49" s="1">
        <v>5.0568999999999997</v>
      </c>
      <c r="AF49" s="1">
        <v>1.9992000000000001</v>
      </c>
    </row>
    <row r="50" spans="1:32" x14ac:dyDescent="0.2">
      <c r="A50" s="1">
        <v>33</v>
      </c>
      <c r="B50" s="1">
        <v>1</v>
      </c>
      <c r="C50" s="1">
        <v>25.1</v>
      </c>
      <c r="D50" s="1">
        <v>1</v>
      </c>
      <c r="E50" s="1">
        <v>1.9246000000000001</v>
      </c>
      <c r="F50" s="1">
        <v>0.77359999999999995</v>
      </c>
      <c r="G50" s="1">
        <v>0.29299999999999998</v>
      </c>
      <c r="H50" s="1">
        <v>-0.36209999999999998</v>
      </c>
      <c r="I50" s="1">
        <v>1.6999999999999999E-3</v>
      </c>
      <c r="J50" s="1">
        <v>3.5188999999999999</v>
      </c>
      <c r="K50" s="1">
        <v>3.8879000000000001</v>
      </c>
      <c r="L50" s="1">
        <v>2.2323</v>
      </c>
      <c r="M50" s="1">
        <v>-55.1</v>
      </c>
      <c r="N50" s="1">
        <v>1</v>
      </c>
      <c r="O50" s="1">
        <v>2.3559000000000001</v>
      </c>
      <c r="P50" s="1">
        <v>0.89590000000000003</v>
      </c>
      <c r="Q50" s="1">
        <v>0.27660000000000001</v>
      </c>
      <c r="R50" s="1">
        <v>-0.2142</v>
      </c>
      <c r="S50" s="1">
        <v>2.3599999999999999E-2</v>
      </c>
      <c r="T50" s="1">
        <v>1.9897</v>
      </c>
      <c r="U50" s="1">
        <v>2.7793999999999999</v>
      </c>
      <c r="V50" s="1">
        <v>2.0526</v>
      </c>
      <c r="W50" s="1">
        <v>99.9</v>
      </c>
      <c r="X50" s="1">
        <v>1</v>
      </c>
      <c r="Y50" s="1">
        <v>1.4056999999999999</v>
      </c>
      <c r="AA50" s="1">
        <v>0.4148</v>
      </c>
      <c r="AB50" s="1">
        <v>-0.40050000000000002</v>
      </c>
      <c r="AC50" s="1">
        <v>0.28570000000000001</v>
      </c>
      <c r="AD50" s="1">
        <v>4.1566999999999998</v>
      </c>
      <c r="AE50" s="1">
        <v>5.1410999999999998</v>
      </c>
      <c r="AF50" s="1">
        <v>2.4222000000000001</v>
      </c>
    </row>
    <row r="51" spans="1:32" x14ac:dyDescent="0.2">
      <c r="A51" s="1">
        <v>34</v>
      </c>
      <c r="B51" s="1">
        <v>1</v>
      </c>
      <c r="C51" s="1">
        <v>25</v>
      </c>
      <c r="D51" s="1">
        <v>1</v>
      </c>
      <c r="E51" s="1">
        <v>2.3039000000000001</v>
      </c>
      <c r="F51" s="1">
        <v>0.79020000000000001</v>
      </c>
      <c r="G51" s="1">
        <v>0.50060000000000004</v>
      </c>
      <c r="H51" s="1">
        <v>-0.45329999999999998</v>
      </c>
      <c r="I51" s="1">
        <v>1.5E-3</v>
      </c>
      <c r="J51" s="1">
        <v>3.3281999999999998</v>
      </c>
      <c r="K51" s="1">
        <v>3.9234</v>
      </c>
      <c r="L51" s="1">
        <v>1.8414999999999999</v>
      </c>
      <c r="M51" s="1">
        <v>-54.9</v>
      </c>
      <c r="N51" s="1">
        <v>1</v>
      </c>
      <c r="O51" s="1">
        <v>2.3993000000000002</v>
      </c>
      <c r="P51" s="1">
        <v>0.90680000000000005</v>
      </c>
      <c r="Q51" s="1">
        <v>0.29880000000000001</v>
      </c>
      <c r="R51" s="1">
        <v>-0.48830000000000001</v>
      </c>
      <c r="S51" s="1">
        <v>1.9199999999999998E-2</v>
      </c>
      <c r="T51" s="1">
        <v>1.2145999999999999</v>
      </c>
      <c r="U51" s="1">
        <v>2.9636999999999998</v>
      </c>
      <c r="V51" s="1">
        <v>1.6724000000000001</v>
      </c>
      <c r="W51" s="1">
        <v>100.4</v>
      </c>
      <c r="X51" s="1">
        <v>1</v>
      </c>
      <c r="Y51" s="1">
        <v>1.7155</v>
      </c>
      <c r="AA51" s="1">
        <v>0.4632</v>
      </c>
      <c r="AB51" s="1">
        <v>-0.65159999999999996</v>
      </c>
      <c r="AC51" s="1">
        <v>0.17929999999999999</v>
      </c>
      <c r="AD51" s="1">
        <v>3.3881999999999999</v>
      </c>
      <c r="AE51" s="1">
        <v>5.0648999999999997</v>
      </c>
      <c r="AF51" s="1">
        <v>2.0118999999999998</v>
      </c>
    </row>
    <row r="52" spans="1:32" x14ac:dyDescent="0.2">
      <c r="A52" s="1">
        <v>35</v>
      </c>
      <c r="B52" s="1">
        <v>1</v>
      </c>
      <c r="C52" s="1">
        <v>25.1</v>
      </c>
      <c r="D52" s="1">
        <v>1</v>
      </c>
      <c r="E52" s="1">
        <v>1.9217</v>
      </c>
      <c r="F52" s="1">
        <v>0.77439999999999998</v>
      </c>
      <c r="G52" s="1">
        <v>0.31609999999999999</v>
      </c>
      <c r="H52" s="1">
        <v>-0.3528</v>
      </c>
      <c r="I52" s="1">
        <v>1.5E-3</v>
      </c>
      <c r="J52" s="1">
        <v>3.5436000000000001</v>
      </c>
      <c r="K52" s="1">
        <v>3.9281000000000001</v>
      </c>
      <c r="L52" s="1">
        <v>2.2471000000000001</v>
      </c>
      <c r="M52" s="1">
        <v>-55</v>
      </c>
      <c r="N52" s="1">
        <v>1</v>
      </c>
      <c r="O52" s="1">
        <v>2.3439999999999999</v>
      </c>
      <c r="P52" s="1">
        <v>0.89810000000000001</v>
      </c>
      <c r="Q52" s="1">
        <v>0.21529999999999999</v>
      </c>
      <c r="R52" s="1">
        <v>-0.28260000000000002</v>
      </c>
      <c r="S52" s="1">
        <v>2.6100000000000002E-2</v>
      </c>
      <c r="T52" s="1">
        <v>2.0085999999999999</v>
      </c>
      <c r="U52" s="1">
        <v>2.7869000000000002</v>
      </c>
      <c r="V52" s="1">
        <v>2.0669</v>
      </c>
      <c r="W52" s="1">
        <v>100.2</v>
      </c>
      <c r="X52" s="1">
        <v>1</v>
      </c>
      <c r="Y52" s="1">
        <v>1.3976999999999999</v>
      </c>
      <c r="AA52" s="1">
        <v>0.17280000000000001</v>
      </c>
      <c r="AB52" s="1">
        <v>-0.42030000000000001</v>
      </c>
      <c r="AC52" s="1">
        <v>0.30049999999999999</v>
      </c>
      <c r="AD52" s="1">
        <v>4.1875999999999998</v>
      </c>
      <c r="AE52" s="1">
        <v>5.2102000000000004</v>
      </c>
      <c r="AF52" s="1">
        <v>2.4418000000000002</v>
      </c>
    </row>
    <row r="53" spans="1:32" x14ac:dyDescent="0.2">
      <c r="A53" s="1">
        <v>36</v>
      </c>
      <c r="B53" s="1">
        <v>1</v>
      </c>
      <c r="C53" s="1">
        <v>25.1</v>
      </c>
      <c r="D53" s="1">
        <v>1</v>
      </c>
      <c r="E53" s="1">
        <v>2.0125999999999999</v>
      </c>
      <c r="F53" s="1">
        <v>0.7782</v>
      </c>
      <c r="G53" s="1">
        <v>8.6099999999999996E-2</v>
      </c>
      <c r="H53" s="1">
        <v>-0.2112</v>
      </c>
      <c r="I53" s="1">
        <v>1.5E-3</v>
      </c>
      <c r="J53" s="1">
        <v>3.44</v>
      </c>
      <c r="K53" s="1">
        <v>3.8938999999999999</v>
      </c>
      <c r="L53" s="1">
        <v>1.9821</v>
      </c>
      <c r="M53" s="1">
        <v>-54.6</v>
      </c>
      <c r="N53" s="1">
        <v>1</v>
      </c>
      <c r="O53" s="1">
        <v>2.4180000000000001</v>
      </c>
      <c r="P53" s="1">
        <v>0.89180000000000004</v>
      </c>
      <c r="Q53" s="1">
        <v>6.7350000000000003</v>
      </c>
      <c r="R53" s="1">
        <v>-81.732399999999998</v>
      </c>
      <c r="S53" s="1">
        <v>2.3699999999999999E-2</v>
      </c>
      <c r="T53" s="1">
        <v>1.9697</v>
      </c>
      <c r="U53" s="1">
        <v>2.8271999999999999</v>
      </c>
      <c r="V53" s="1">
        <v>1.8181</v>
      </c>
      <c r="W53" s="1">
        <v>100.6</v>
      </c>
      <c r="X53" s="1">
        <v>1</v>
      </c>
      <c r="Y53" s="1">
        <v>1.5306999999999999</v>
      </c>
      <c r="AA53" s="1">
        <v>0.36930000000000002</v>
      </c>
      <c r="AB53" s="1">
        <v>-0.31480000000000002</v>
      </c>
      <c r="AC53" s="1">
        <v>0.1789</v>
      </c>
      <c r="AD53" s="1">
        <v>4.0254000000000003</v>
      </c>
      <c r="AE53" s="1">
        <v>5.0580999999999996</v>
      </c>
      <c r="AF53" s="1">
        <v>2.1528999999999998</v>
      </c>
    </row>
    <row r="54" spans="1:32" x14ac:dyDescent="0.2">
      <c r="A54" s="1">
        <v>37</v>
      </c>
      <c r="B54" s="1">
        <v>1</v>
      </c>
      <c r="C54" s="1">
        <v>25</v>
      </c>
      <c r="D54" s="1">
        <v>1</v>
      </c>
      <c r="E54" s="1">
        <v>1.927</v>
      </c>
      <c r="F54" s="1">
        <v>0.7732</v>
      </c>
      <c r="G54" s="1">
        <v>0.1996</v>
      </c>
      <c r="H54" s="1">
        <v>-0.1134</v>
      </c>
      <c r="I54" s="1">
        <v>1.6000000000000001E-3</v>
      </c>
      <c r="J54" s="1">
        <v>3.5384000000000002</v>
      </c>
      <c r="K54" s="1">
        <v>3.8994</v>
      </c>
      <c r="L54" s="1">
        <v>2.2347000000000001</v>
      </c>
      <c r="M54" s="1">
        <v>-55.1</v>
      </c>
      <c r="N54" s="1">
        <v>1</v>
      </c>
      <c r="O54" s="1">
        <v>2.3422000000000001</v>
      </c>
      <c r="P54" s="1">
        <v>0.89649999999999996</v>
      </c>
      <c r="Q54" s="1">
        <v>0.2122</v>
      </c>
      <c r="R54" s="1">
        <v>-0.30740000000000001</v>
      </c>
      <c r="S54" s="1">
        <v>2.4500000000000001E-2</v>
      </c>
      <c r="T54" s="1">
        <v>1.9939</v>
      </c>
      <c r="U54" s="1">
        <v>2.7841999999999998</v>
      </c>
      <c r="V54" s="1">
        <v>2.0543999999999998</v>
      </c>
      <c r="W54" s="1">
        <v>100.4</v>
      </c>
      <c r="X54" s="1">
        <v>1</v>
      </c>
      <c r="Y54" s="1">
        <v>1.4051</v>
      </c>
      <c r="AA54" s="1">
        <v>0.40670000000000001</v>
      </c>
      <c r="AB54" s="1">
        <v>-0.3856</v>
      </c>
      <c r="AC54" s="1">
        <v>0.31369999999999998</v>
      </c>
      <c r="AD54" s="1">
        <v>4.1955</v>
      </c>
      <c r="AE54" s="1">
        <v>5.1982999999999997</v>
      </c>
      <c r="AF54" s="1">
        <v>2.4312999999999998</v>
      </c>
    </row>
    <row r="55" spans="1:32" x14ac:dyDescent="0.2">
      <c r="A55" s="1">
        <v>38</v>
      </c>
      <c r="B55" s="1">
        <v>1</v>
      </c>
      <c r="C55" s="1">
        <v>25.1</v>
      </c>
      <c r="D55" s="1">
        <v>1</v>
      </c>
      <c r="E55" s="1">
        <v>2.1606000000000001</v>
      </c>
      <c r="F55" s="1">
        <v>0.78700000000000003</v>
      </c>
      <c r="G55" s="1">
        <v>0.34970000000000001</v>
      </c>
      <c r="H55" s="1">
        <v>-0.40210000000000001</v>
      </c>
      <c r="I55" s="1">
        <v>1.1000000000000001E-3</v>
      </c>
      <c r="J55" s="1">
        <v>3.4281999999999999</v>
      </c>
      <c r="K55" s="1">
        <v>3.7581000000000002</v>
      </c>
      <c r="L55" s="1">
        <v>1.7310000000000001</v>
      </c>
      <c r="M55" s="1">
        <v>-55.1</v>
      </c>
      <c r="N55" s="1">
        <v>1</v>
      </c>
      <c r="O55" s="1">
        <v>2.3993000000000002</v>
      </c>
      <c r="P55" s="1">
        <v>0.90469999999999995</v>
      </c>
      <c r="Q55" s="1">
        <v>0.3201</v>
      </c>
      <c r="R55" s="1">
        <v>-0.32129999999999997</v>
      </c>
      <c r="S55" s="1">
        <v>1.9599999999999999E-2</v>
      </c>
      <c r="T55" s="1">
        <v>1.3636999999999999</v>
      </c>
      <c r="U55" s="1">
        <v>2.6856</v>
      </c>
      <c r="V55" s="1">
        <v>1.5550999999999999</v>
      </c>
      <c r="W55" s="1">
        <v>100</v>
      </c>
      <c r="X55" s="1">
        <v>1</v>
      </c>
      <c r="Y55" s="1">
        <v>1.6127</v>
      </c>
      <c r="AA55" s="1">
        <v>0.65680000000000005</v>
      </c>
      <c r="AB55" s="1">
        <v>-0.67359999999999998</v>
      </c>
      <c r="AC55" s="1">
        <v>0.2263</v>
      </c>
      <c r="AD55" s="1">
        <v>3.2955000000000001</v>
      </c>
      <c r="AE55" s="1">
        <v>4.9691999999999998</v>
      </c>
      <c r="AF55" s="1">
        <v>1.9012</v>
      </c>
    </row>
    <row r="56" spans="1:32" x14ac:dyDescent="0.2">
      <c r="A56" s="1">
        <v>39</v>
      </c>
      <c r="B56" s="1">
        <v>1</v>
      </c>
      <c r="C56" s="1">
        <v>25.1</v>
      </c>
      <c r="D56" s="1">
        <v>1</v>
      </c>
      <c r="E56" s="1">
        <v>1.9144000000000001</v>
      </c>
      <c r="F56" s="1">
        <v>0.77910000000000001</v>
      </c>
      <c r="G56" s="1">
        <v>0.32279999999999998</v>
      </c>
      <c r="H56" s="1">
        <v>-0.32829999999999998</v>
      </c>
      <c r="I56" s="1">
        <v>1.2999999999999999E-3</v>
      </c>
      <c r="J56" s="1">
        <v>3.4638</v>
      </c>
      <c r="K56" s="1">
        <v>4.0242000000000004</v>
      </c>
      <c r="L56" s="1">
        <v>2.0053000000000001</v>
      </c>
      <c r="M56" s="1">
        <v>-55.2</v>
      </c>
      <c r="N56" s="1">
        <v>1</v>
      </c>
      <c r="O56" s="1">
        <v>2.3189000000000002</v>
      </c>
      <c r="P56" s="1">
        <v>0.89990000000000003</v>
      </c>
      <c r="Q56" s="1">
        <v>0.27810000000000001</v>
      </c>
      <c r="R56" s="1">
        <v>-0.26579999999999998</v>
      </c>
      <c r="S56" s="1">
        <v>2.3400000000000001E-2</v>
      </c>
      <c r="T56" s="1">
        <v>1.9552</v>
      </c>
      <c r="U56" s="1">
        <v>2.9491999999999998</v>
      </c>
      <c r="V56" s="1">
        <v>1.8319000000000001</v>
      </c>
      <c r="W56" s="1">
        <v>100.9</v>
      </c>
      <c r="X56" s="1">
        <v>1</v>
      </c>
      <c r="Y56" s="1">
        <v>1.4266000000000001</v>
      </c>
      <c r="AA56" s="1">
        <v>0.38150000000000001</v>
      </c>
      <c r="AB56" s="1">
        <v>-0.55830000000000002</v>
      </c>
      <c r="AC56" s="1">
        <v>0.24260000000000001</v>
      </c>
      <c r="AD56" s="1">
        <v>4.0829000000000004</v>
      </c>
      <c r="AE56" s="1">
        <v>5.2473999999999998</v>
      </c>
      <c r="AF56" s="1">
        <v>2.1869000000000001</v>
      </c>
    </row>
    <row r="57" spans="1:32" x14ac:dyDescent="0.2">
      <c r="A57" s="1">
        <v>40</v>
      </c>
      <c r="B57" s="1">
        <v>1</v>
      </c>
      <c r="C57" s="1">
        <v>25</v>
      </c>
      <c r="D57" s="1">
        <v>1</v>
      </c>
      <c r="E57" s="1">
        <v>1.9778</v>
      </c>
      <c r="F57" s="1">
        <v>0.78459999999999996</v>
      </c>
      <c r="G57" s="1">
        <v>0.2477</v>
      </c>
      <c r="H57" s="1">
        <v>-0.3589</v>
      </c>
      <c r="I57" s="1">
        <v>1.4E-3</v>
      </c>
      <c r="J57" s="1">
        <v>3.4211</v>
      </c>
      <c r="K57" s="1">
        <v>4.3372999999999999</v>
      </c>
      <c r="L57" s="1">
        <v>1.7689999999999999</v>
      </c>
      <c r="M57" s="1">
        <v>-55</v>
      </c>
      <c r="N57" s="1">
        <v>1</v>
      </c>
      <c r="O57" s="1">
        <v>2.379</v>
      </c>
      <c r="P57" s="1">
        <v>0.89959999999999996</v>
      </c>
      <c r="Q57" s="1">
        <v>1.66E-2</v>
      </c>
      <c r="R57" s="1">
        <v>-6.0900000000000003E-2</v>
      </c>
      <c r="S57" s="1">
        <v>2.47E-2</v>
      </c>
      <c r="T57" s="1">
        <v>1.9478</v>
      </c>
      <c r="U57" s="1">
        <v>3.1798000000000002</v>
      </c>
      <c r="V57" s="1">
        <v>1.6089</v>
      </c>
      <c r="W57" s="1">
        <v>100.5</v>
      </c>
      <c r="X57" s="1">
        <v>1</v>
      </c>
      <c r="Y57" s="1">
        <v>1.5168999999999999</v>
      </c>
      <c r="AA57" s="1">
        <v>0.1963</v>
      </c>
      <c r="AB57" s="1">
        <v>-0.29949999999999999</v>
      </c>
      <c r="AC57" s="1">
        <v>0.1628</v>
      </c>
      <c r="AD57" s="1">
        <v>3.9828000000000001</v>
      </c>
      <c r="AE57" s="1">
        <v>5.5186999999999999</v>
      </c>
      <c r="AF57" s="1">
        <v>1.9300999999999999</v>
      </c>
    </row>
    <row r="58" spans="1:32" x14ac:dyDescent="0.2">
      <c r="A58" s="1">
        <v>41</v>
      </c>
      <c r="B58" s="1">
        <v>1</v>
      </c>
      <c r="C58" s="1">
        <v>25.1</v>
      </c>
      <c r="D58" s="1">
        <v>1</v>
      </c>
      <c r="E58" s="1">
        <v>2.0179</v>
      </c>
      <c r="F58" s="1">
        <v>0.77410000000000001</v>
      </c>
      <c r="G58" s="1">
        <v>0.34239999999999998</v>
      </c>
      <c r="H58" s="1">
        <v>-0.31879999999999997</v>
      </c>
      <c r="I58" s="1">
        <v>1.1999999999999999E-3</v>
      </c>
      <c r="J58" s="1">
        <v>3.4956</v>
      </c>
      <c r="K58" s="1">
        <v>3.9352</v>
      </c>
      <c r="L58" s="1">
        <v>2.2581000000000002</v>
      </c>
      <c r="M58" s="1">
        <v>-55.1</v>
      </c>
      <c r="N58" s="1">
        <v>1</v>
      </c>
      <c r="O58" s="1">
        <v>2.4647000000000001</v>
      </c>
      <c r="P58" s="1">
        <v>0.89639999999999997</v>
      </c>
      <c r="Q58" s="1">
        <v>0.26350000000000001</v>
      </c>
      <c r="R58" s="1">
        <v>-0.24729999999999999</v>
      </c>
      <c r="S58" s="1">
        <v>2.3900000000000001E-2</v>
      </c>
      <c r="T58" s="1">
        <v>2.0007000000000001</v>
      </c>
      <c r="U58" s="1">
        <v>2.7974999999999999</v>
      </c>
      <c r="V58" s="1">
        <v>2.0785999999999998</v>
      </c>
      <c r="W58" s="1">
        <v>100.5</v>
      </c>
      <c r="X58" s="1">
        <v>1</v>
      </c>
      <c r="Y58" s="1">
        <v>1.4766999999999999</v>
      </c>
      <c r="AA58" s="1">
        <v>0.32529999999999998</v>
      </c>
      <c r="AB58" s="1">
        <v>-0.28120000000000001</v>
      </c>
      <c r="AC58" s="1">
        <v>0.2651</v>
      </c>
      <c r="AD58" s="1">
        <v>4.1257000000000001</v>
      </c>
      <c r="AE58" s="1">
        <v>5.1786000000000003</v>
      </c>
      <c r="AF58" s="1">
        <v>2.4514</v>
      </c>
    </row>
    <row r="59" spans="1:32" x14ac:dyDescent="0.2">
      <c r="A59" s="1">
        <v>42</v>
      </c>
      <c r="B59" s="1">
        <v>1</v>
      </c>
      <c r="C59" s="1">
        <v>25.1</v>
      </c>
      <c r="D59" s="1">
        <v>1</v>
      </c>
      <c r="E59" s="1">
        <v>2.1594000000000002</v>
      </c>
      <c r="F59" s="1">
        <v>0.78369999999999995</v>
      </c>
      <c r="G59" s="1">
        <v>0.5726</v>
      </c>
      <c r="H59" s="1">
        <v>-0.57869999999999999</v>
      </c>
      <c r="I59" s="1">
        <v>1.5E-3</v>
      </c>
      <c r="J59" s="1">
        <v>3.2162999999999999</v>
      </c>
      <c r="K59" s="1">
        <v>3.6450999999999998</v>
      </c>
      <c r="L59" s="1">
        <v>1.8176000000000001</v>
      </c>
      <c r="M59" s="1">
        <v>-55</v>
      </c>
      <c r="N59" s="1">
        <v>1</v>
      </c>
      <c r="O59" s="1">
        <v>2.3996</v>
      </c>
      <c r="P59" s="1">
        <v>0.90269999999999995</v>
      </c>
      <c r="Q59" s="1">
        <v>0.49980000000000002</v>
      </c>
      <c r="R59" s="1">
        <v>-0.48349999999999999</v>
      </c>
      <c r="S59" s="1">
        <v>2.0500000000000001E-2</v>
      </c>
      <c r="T59" s="1">
        <v>1.3265</v>
      </c>
      <c r="U59" s="1">
        <v>2.5908000000000002</v>
      </c>
      <c r="V59" s="1">
        <v>1.6245000000000001</v>
      </c>
      <c r="W59" s="1">
        <v>100.2</v>
      </c>
      <c r="X59" s="1">
        <v>1</v>
      </c>
      <c r="Y59" s="1">
        <v>1.5928</v>
      </c>
      <c r="AA59" s="1">
        <v>0.48070000000000002</v>
      </c>
      <c r="AB59" s="1">
        <v>-0.75870000000000004</v>
      </c>
      <c r="AC59" s="1">
        <v>0.23219999999999999</v>
      </c>
      <c r="AD59" s="1">
        <v>3.3147000000000002</v>
      </c>
      <c r="AE59" s="1">
        <v>4.8490000000000002</v>
      </c>
      <c r="AF59" s="1">
        <v>2.0032999999999999</v>
      </c>
    </row>
    <row r="60" spans="1:32" x14ac:dyDescent="0.2">
      <c r="A60" s="1">
        <v>43</v>
      </c>
      <c r="B60" s="1">
        <v>1</v>
      </c>
      <c r="C60" s="1">
        <v>25.1</v>
      </c>
      <c r="D60" s="1">
        <v>1</v>
      </c>
      <c r="E60" s="1">
        <v>1.9312</v>
      </c>
      <c r="F60" s="1">
        <v>0.77759999999999996</v>
      </c>
      <c r="G60" s="1">
        <v>0.27739999999999998</v>
      </c>
      <c r="H60" s="1">
        <v>-0.3382</v>
      </c>
      <c r="I60" s="1">
        <v>1.6999999999999999E-3</v>
      </c>
      <c r="J60" s="1">
        <v>3.5238</v>
      </c>
      <c r="K60" s="1">
        <v>4.0152999999999999</v>
      </c>
      <c r="L60" s="1">
        <v>2.1265000000000001</v>
      </c>
      <c r="M60" s="1">
        <v>-55.3</v>
      </c>
      <c r="N60" s="1">
        <v>1</v>
      </c>
      <c r="O60" s="1">
        <v>2.3426999999999998</v>
      </c>
      <c r="P60" s="1">
        <v>0.89790000000000003</v>
      </c>
      <c r="Q60" s="1">
        <v>5.74E-2</v>
      </c>
      <c r="R60" s="1">
        <v>-4.36E-2</v>
      </c>
      <c r="S60" s="1">
        <v>2.47E-2</v>
      </c>
      <c r="T60" s="1">
        <v>2.0442999999999998</v>
      </c>
      <c r="U60" s="1">
        <v>2.9140000000000001</v>
      </c>
      <c r="V60" s="1">
        <v>1.9514</v>
      </c>
      <c r="W60" s="1">
        <v>100.4</v>
      </c>
      <c r="X60" s="1">
        <v>1</v>
      </c>
      <c r="Y60" s="1">
        <v>1.4356</v>
      </c>
      <c r="AA60" s="1">
        <v>0.2457</v>
      </c>
      <c r="AB60" s="1">
        <v>-0.26960000000000001</v>
      </c>
      <c r="AC60" s="1">
        <v>0.23130000000000001</v>
      </c>
      <c r="AD60" s="1">
        <v>4.1670999999999996</v>
      </c>
      <c r="AE60" s="1">
        <v>5.2272999999999996</v>
      </c>
      <c r="AF60" s="1">
        <v>2.3090999999999999</v>
      </c>
    </row>
    <row r="61" spans="1:32" x14ac:dyDescent="0.2">
      <c r="A61" s="1">
        <v>45</v>
      </c>
      <c r="B61" s="1">
        <v>1</v>
      </c>
      <c r="C61" s="1">
        <v>25.3</v>
      </c>
      <c r="D61" s="1">
        <v>1</v>
      </c>
      <c r="E61" s="1">
        <v>2.0167999999999999</v>
      </c>
      <c r="F61" s="1">
        <v>0.77349999999999997</v>
      </c>
      <c r="G61" s="1">
        <v>0.2268</v>
      </c>
      <c r="H61" s="1">
        <v>-0.34489999999999998</v>
      </c>
      <c r="I61" s="1">
        <v>1.4E-3</v>
      </c>
      <c r="J61" s="1">
        <v>3.4971999999999999</v>
      </c>
      <c r="K61" s="1">
        <v>3.9089999999999998</v>
      </c>
      <c r="L61" s="1">
        <v>2.0158999999999998</v>
      </c>
      <c r="M61" s="1">
        <v>-56.1</v>
      </c>
      <c r="N61" s="1">
        <v>1</v>
      </c>
      <c r="O61" s="1">
        <v>2.4552999999999998</v>
      </c>
      <c r="P61" s="1">
        <v>0.88759999999999994</v>
      </c>
      <c r="Q61" s="1">
        <v>0.31040000000000001</v>
      </c>
      <c r="R61" s="1">
        <v>-0.40629999999999999</v>
      </c>
      <c r="S61" s="1">
        <v>2.47E-2</v>
      </c>
      <c r="T61" s="1">
        <v>1.96</v>
      </c>
      <c r="U61" s="1">
        <v>2.827</v>
      </c>
      <c r="V61" s="1">
        <v>1.8505</v>
      </c>
      <c r="W61" s="1">
        <v>100.7</v>
      </c>
      <c r="X61" s="1">
        <v>1</v>
      </c>
      <c r="Y61" s="1">
        <v>1.6096999999999999</v>
      </c>
      <c r="AA61" s="1">
        <v>0.2112</v>
      </c>
      <c r="AB61" s="1">
        <v>-0.46779999999999999</v>
      </c>
      <c r="AC61" s="1">
        <v>7.6300000000000007E-2</v>
      </c>
      <c r="AD61" s="1">
        <v>3.9011</v>
      </c>
      <c r="AE61" s="1">
        <v>4.9481999999999999</v>
      </c>
      <c r="AF61" s="1">
        <v>2.1597</v>
      </c>
    </row>
    <row r="62" spans="1:32" x14ac:dyDescent="0.2">
      <c r="A62" s="1">
        <v>46</v>
      </c>
      <c r="B62" s="1">
        <v>1</v>
      </c>
      <c r="C62" s="1">
        <v>25.4</v>
      </c>
      <c r="D62" s="1">
        <v>1</v>
      </c>
      <c r="E62" s="1">
        <v>2.0535000000000001</v>
      </c>
      <c r="F62" s="1">
        <v>0.77800000000000002</v>
      </c>
      <c r="G62" s="1">
        <v>0.33739999999999998</v>
      </c>
      <c r="H62" s="1">
        <v>-0.37480000000000002</v>
      </c>
      <c r="I62" s="1">
        <v>8.9999999999999998E-4</v>
      </c>
      <c r="J62" s="1">
        <v>3.5573000000000001</v>
      </c>
      <c r="K62" s="1">
        <v>4.0069999999999997</v>
      </c>
      <c r="L62" s="1">
        <v>1.9007000000000001</v>
      </c>
      <c r="M62" s="1">
        <v>-57.6</v>
      </c>
      <c r="N62" s="1">
        <v>1</v>
      </c>
      <c r="O62" s="1">
        <v>2.4786999999999999</v>
      </c>
      <c r="P62" s="1">
        <v>0.89200000000000002</v>
      </c>
      <c r="Q62" s="1">
        <v>0.24149999999999999</v>
      </c>
      <c r="R62" s="1">
        <v>-0.40489999999999998</v>
      </c>
      <c r="S62" s="1">
        <v>2.5499999999999998E-2</v>
      </c>
      <c r="T62" s="1">
        <v>1.9897</v>
      </c>
      <c r="U62" s="1">
        <v>2.9238</v>
      </c>
      <c r="V62" s="1">
        <v>1.7371000000000001</v>
      </c>
      <c r="W62" s="1">
        <v>100.7</v>
      </c>
      <c r="X62" s="1">
        <v>1</v>
      </c>
      <c r="Y62" s="1">
        <v>1.6341000000000001</v>
      </c>
      <c r="AA62" s="1">
        <v>0.42430000000000001</v>
      </c>
      <c r="AB62" s="1">
        <v>-0.4995</v>
      </c>
      <c r="AC62" s="1">
        <v>0.1031</v>
      </c>
      <c r="AD62" s="1">
        <v>3.9192999999999998</v>
      </c>
      <c r="AE62" s="1">
        <v>5.0670000000000002</v>
      </c>
      <c r="AF62" s="1">
        <v>2.0474999999999999</v>
      </c>
    </row>
    <row r="63" spans="1:32" x14ac:dyDescent="0.2">
      <c r="A63" s="1">
        <v>47</v>
      </c>
      <c r="B63" s="1">
        <v>1</v>
      </c>
      <c r="C63" s="1">
        <v>25</v>
      </c>
      <c r="D63" s="1">
        <v>1</v>
      </c>
      <c r="E63" s="1">
        <v>2.0206</v>
      </c>
      <c r="F63" s="1">
        <v>0.77439999999999998</v>
      </c>
      <c r="G63" s="1">
        <v>7.8799999999999995E-2</v>
      </c>
      <c r="H63" s="1">
        <v>-0.11990000000000001</v>
      </c>
      <c r="I63" s="1">
        <v>1.5E-3</v>
      </c>
      <c r="J63" s="1">
        <v>3.4935</v>
      </c>
      <c r="K63" s="1">
        <v>3.8860999999999999</v>
      </c>
      <c r="L63" s="1">
        <v>2.2080000000000002</v>
      </c>
      <c r="M63" s="1">
        <v>-55.2</v>
      </c>
      <c r="N63" s="1">
        <v>1</v>
      </c>
      <c r="O63" s="1">
        <v>2.4632000000000001</v>
      </c>
      <c r="P63" s="1">
        <v>0.89370000000000005</v>
      </c>
      <c r="Q63" s="1">
        <v>0.24729999999999999</v>
      </c>
      <c r="R63" s="1">
        <v>-0.3034</v>
      </c>
      <c r="S63" s="1">
        <v>2.4299999999999999E-2</v>
      </c>
      <c r="T63" s="1">
        <v>1.9751000000000001</v>
      </c>
      <c r="U63" s="1">
        <v>2.7854999999999999</v>
      </c>
      <c r="V63" s="1">
        <v>2.0339</v>
      </c>
      <c r="W63" s="1">
        <v>100.5</v>
      </c>
      <c r="X63" s="1">
        <v>1</v>
      </c>
      <c r="Y63" s="1">
        <v>1.5121</v>
      </c>
      <c r="AA63" s="1">
        <v>0.37519999999999998</v>
      </c>
      <c r="AB63" s="1">
        <v>-0.3543</v>
      </c>
      <c r="AC63" s="1">
        <v>0.19789999999999999</v>
      </c>
      <c r="AD63" s="1">
        <v>4.0750999999999999</v>
      </c>
      <c r="AE63" s="1">
        <v>5.1138000000000003</v>
      </c>
      <c r="AF63" s="1">
        <v>2.3908999999999998</v>
      </c>
    </row>
    <row r="64" spans="1:32" x14ac:dyDescent="0.2">
      <c r="A64" s="1">
        <v>48</v>
      </c>
      <c r="B64" s="1">
        <v>1</v>
      </c>
      <c r="C64" s="1">
        <v>25</v>
      </c>
      <c r="D64" s="1">
        <v>1</v>
      </c>
      <c r="E64" s="1">
        <v>1.9288000000000001</v>
      </c>
      <c r="F64" s="1">
        <v>0.77390000000000003</v>
      </c>
      <c r="G64" s="1">
        <v>0.26190000000000002</v>
      </c>
      <c r="H64" s="1">
        <v>-0.1648</v>
      </c>
      <c r="I64" s="1">
        <v>1.5E-3</v>
      </c>
      <c r="J64" s="1">
        <v>3.5453999999999999</v>
      </c>
      <c r="K64" s="1">
        <v>3.9236</v>
      </c>
      <c r="L64" s="1">
        <v>2.3149000000000002</v>
      </c>
      <c r="M64" s="1">
        <v>-54.9</v>
      </c>
      <c r="N64" s="1">
        <v>1</v>
      </c>
      <c r="O64" s="1">
        <v>2.3672</v>
      </c>
      <c r="P64" s="1">
        <v>0.89780000000000004</v>
      </c>
      <c r="Q64" s="1">
        <v>0.23180000000000001</v>
      </c>
      <c r="R64" s="1">
        <v>-9.8900000000000002E-2</v>
      </c>
      <c r="S64" s="1">
        <v>2.2599999999999999E-2</v>
      </c>
      <c r="T64" s="1">
        <v>2.0085000000000002</v>
      </c>
      <c r="U64" s="1">
        <v>2.7744</v>
      </c>
      <c r="V64" s="1">
        <v>2.1335999999999999</v>
      </c>
      <c r="W64" s="1">
        <v>100.4</v>
      </c>
      <c r="X64" s="1">
        <v>1</v>
      </c>
      <c r="Y64" s="1">
        <v>1.3852</v>
      </c>
      <c r="AA64" s="1">
        <v>0.37840000000000001</v>
      </c>
      <c r="AB64" s="1">
        <v>-0.52480000000000004</v>
      </c>
      <c r="AC64" s="1">
        <v>0.33029999999999998</v>
      </c>
      <c r="AD64" s="1">
        <v>4.2458</v>
      </c>
      <c r="AE64" s="1">
        <v>5.2342000000000004</v>
      </c>
      <c r="AF64" s="1">
        <v>2.5137</v>
      </c>
    </row>
    <row r="65" spans="1:32" x14ac:dyDescent="0.2">
      <c r="A65" s="1">
        <v>49</v>
      </c>
      <c r="B65" s="1">
        <v>1</v>
      </c>
      <c r="C65" s="1">
        <v>25</v>
      </c>
      <c r="D65" s="1">
        <v>1</v>
      </c>
      <c r="E65" s="1">
        <v>2.0468999999999999</v>
      </c>
      <c r="F65" s="1">
        <v>0.77969999999999995</v>
      </c>
      <c r="G65" s="1">
        <v>7.6899999999999996E-2</v>
      </c>
      <c r="H65" s="1">
        <v>-0.14979999999999999</v>
      </c>
      <c r="I65" s="1">
        <v>1.2999999999999999E-3</v>
      </c>
      <c r="J65" s="1">
        <v>3.4986000000000002</v>
      </c>
      <c r="K65" s="1">
        <v>3.9813999999999998</v>
      </c>
      <c r="L65" s="1">
        <v>1.9962</v>
      </c>
      <c r="M65" s="1">
        <v>-55.2</v>
      </c>
      <c r="N65" s="1">
        <v>1</v>
      </c>
      <c r="O65" s="1">
        <v>2.4788999999999999</v>
      </c>
      <c r="P65" s="1">
        <v>0.9</v>
      </c>
      <c r="Q65" s="1">
        <v>1.12E-2</v>
      </c>
      <c r="R65" s="1">
        <v>-7.2300000000000003E-2</v>
      </c>
      <c r="S65" s="1">
        <v>2.2499999999999999E-2</v>
      </c>
      <c r="T65" s="1">
        <v>1.9379</v>
      </c>
      <c r="U65" s="1">
        <v>2.8601999999999999</v>
      </c>
      <c r="V65" s="1">
        <v>1.8238000000000001</v>
      </c>
      <c r="W65" s="1">
        <v>100.4</v>
      </c>
      <c r="X65" s="1">
        <v>1</v>
      </c>
      <c r="Y65" s="1">
        <v>1.5165999999999999</v>
      </c>
      <c r="AA65" s="1">
        <v>0.1298</v>
      </c>
      <c r="AB65" s="1">
        <v>-0.30109999999999998</v>
      </c>
      <c r="AC65" s="1">
        <v>0.25109999999999999</v>
      </c>
      <c r="AD65" s="1">
        <v>4.1317000000000004</v>
      </c>
      <c r="AE65" s="1">
        <v>5.2225999999999999</v>
      </c>
      <c r="AF65" s="1">
        <v>2.1766000000000001</v>
      </c>
    </row>
    <row r="66" spans="1:32" x14ac:dyDescent="0.2">
      <c r="A66" s="1">
        <v>50</v>
      </c>
      <c r="B66" s="1">
        <v>1</v>
      </c>
      <c r="C66" s="1">
        <v>25</v>
      </c>
      <c r="D66" s="1">
        <v>1</v>
      </c>
      <c r="E66" s="1">
        <v>2.0407999999999999</v>
      </c>
      <c r="F66" s="1">
        <v>0.77829999999999999</v>
      </c>
      <c r="G66" s="1">
        <v>0.15129999999999999</v>
      </c>
      <c r="H66" s="1">
        <v>-9.2200000000000004E-2</v>
      </c>
      <c r="I66" s="1">
        <v>1.1999999999999999E-3</v>
      </c>
      <c r="J66" s="1">
        <v>3.4426999999999999</v>
      </c>
      <c r="K66" s="1">
        <v>3.9014000000000002</v>
      </c>
      <c r="L66" s="1">
        <v>1.8069</v>
      </c>
      <c r="M66" s="1">
        <v>-56.1</v>
      </c>
      <c r="N66" s="1">
        <v>1</v>
      </c>
      <c r="O66" s="1">
        <v>2.4409999999999998</v>
      </c>
      <c r="P66" s="1">
        <v>0.88449999999999995</v>
      </c>
      <c r="Q66" s="1">
        <v>1.5535000000000001</v>
      </c>
      <c r="R66" s="1">
        <v>-8.4754000000000005</v>
      </c>
      <c r="S66" s="1">
        <v>2.4199999999999999E-2</v>
      </c>
      <c r="T66" s="1">
        <v>2.0206</v>
      </c>
      <c r="U66" s="1">
        <v>2.8752</v>
      </c>
      <c r="V66" s="1">
        <v>1.6560999999999999</v>
      </c>
      <c r="W66" s="1">
        <v>100.5</v>
      </c>
      <c r="X66" s="1">
        <v>1</v>
      </c>
      <c r="Y66" s="1">
        <v>1.6145</v>
      </c>
      <c r="AA66" s="1">
        <v>0.14929999999999999</v>
      </c>
      <c r="AB66" s="1">
        <v>-0.2651</v>
      </c>
      <c r="AC66" s="1">
        <v>9.5500000000000002E-2</v>
      </c>
      <c r="AD66" s="1">
        <v>3.8729</v>
      </c>
      <c r="AE66" s="1">
        <v>4.9276999999999997</v>
      </c>
      <c r="AF66" s="1">
        <v>1.9476</v>
      </c>
    </row>
    <row r="67" spans="1:32" x14ac:dyDescent="0.2">
      <c r="A67" s="1">
        <v>51</v>
      </c>
      <c r="B67" s="1">
        <v>1</v>
      </c>
      <c r="C67" s="1">
        <v>25</v>
      </c>
      <c r="D67" s="1">
        <v>1</v>
      </c>
      <c r="E67" s="1">
        <v>1.9947999999999999</v>
      </c>
      <c r="F67" s="1">
        <v>0.77310000000000001</v>
      </c>
      <c r="G67" s="1">
        <v>0.32419999999999999</v>
      </c>
      <c r="H67" s="1">
        <v>-0.24279999999999999</v>
      </c>
      <c r="I67" s="1">
        <v>1.5E-3</v>
      </c>
      <c r="J67" s="1">
        <v>3.5114000000000001</v>
      </c>
      <c r="K67" s="1">
        <v>3.9089</v>
      </c>
      <c r="L67" s="1">
        <v>2.2906</v>
      </c>
      <c r="M67" s="1">
        <v>-54.7</v>
      </c>
      <c r="N67" s="1">
        <v>1</v>
      </c>
      <c r="O67" s="1">
        <v>2.4306999999999999</v>
      </c>
      <c r="P67" s="1">
        <v>0.89500000000000002</v>
      </c>
      <c r="Q67" s="1">
        <v>1.7299999999999999E-2</v>
      </c>
      <c r="R67" s="1">
        <v>-6.1800000000000001E-2</v>
      </c>
      <c r="S67" s="1">
        <v>2.5399999999999999E-2</v>
      </c>
      <c r="T67" s="1">
        <v>1.9905999999999999</v>
      </c>
      <c r="U67" s="1">
        <v>2.7873999999999999</v>
      </c>
      <c r="V67" s="1">
        <v>2.1112000000000002</v>
      </c>
      <c r="W67" s="1">
        <v>100.3</v>
      </c>
      <c r="X67" s="1">
        <v>1</v>
      </c>
      <c r="Y67" s="1">
        <v>1.4677</v>
      </c>
      <c r="AA67" s="1">
        <v>0.42330000000000001</v>
      </c>
      <c r="AB67" s="1">
        <v>-0.43540000000000001</v>
      </c>
      <c r="AC67" s="1">
        <v>0.25590000000000002</v>
      </c>
      <c r="AD67" s="1">
        <v>4.1330999999999998</v>
      </c>
      <c r="AE67" s="1">
        <v>5.1894999999999998</v>
      </c>
      <c r="AF67" s="1">
        <v>2.4817</v>
      </c>
    </row>
    <row r="68" spans="1:32" x14ac:dyDescent="0.2">
      <c r="A68" s="1">
        <v>52</v>
      </c>
      <c r="B68" s="1">
        <v>1</v>
      </c>
      <c r="C68" s="1">
        <v>25.2</v>
      </c>
      <c r="D68" s="1">
        <v>1</v>
      </c>
      <c r="E68" s="1">
        <v>2.0127000000000002</v>
      </c>
      <c r="F68" s="1">
        <v>0.78510000000000002</v>
      </c>
      <c r="G68" s="1">
        <v>0.13039999999999999</v>
      </c>
      <c r="H68" s="1">
        <v>-0.315</v>
      </c>
      <c r="I68" s="1">
        <v>1.8E-3</v>
      </c>
      <c r="J68" s="1">
        <v>3.4542000000000002</v>
      </c>
      <c r="K68" s="1">
        <v>4.5082000000000004</v>
      </c>
      <c r="L68" s="1">
        <v>1.9833000000000001</v>
      </c>
      <c r="M68" s="1">
        <v>-55.2</v>
      </c>
      <c r="N68" s="1">
        <v>1</v>
      </c>
      <c r="O68" s="1">
        <v>2.4342000000000001</v>
      </c>
      <c r="P68" s="1">
        <v>0.90010000000000001</v>
      </c>
      <c r="Q68" s="1">
        <v>0.20960000000000001</v>
      </c>
      <c r="R68" s="1">
        <v>-0.12509999999999999</v>
      </c>
      <c r="S68" s="1">
        <v>2.47E-2</v>
      </c>
      <c r="T68" s="1">
        <v>2.0125000000000002</v>
      </c>
      <c r="U68" s="1">
        <v>3.4685999999999999</v>
      </c>
      <c r="V68" s="1">
        <v>1.8169999999999999</v>
      </c>
      <c r="W68" s="1">
        <v>100.3</v>
      </c>
      <c r="X68" s="1">
        <v>1</v>
      </c>
      <c r="Y68" s="1">
        <v>1.532</v>
      </c>
      <c r="AA68" s="1">
        <v>0.36109999999999998</v>
      </c>
      <c r="AB68" s="1">
        <v>-0.56769999999999998</v>
      </c>
      <c r="AC68" s="1">
        <v>0.1454</v>
      </c>
      <c r="AD68" s="1">
        <v>4.1208</v>
      </c>
      <c r="AE68" s="1">
        <v>5.5792000000000002</v>
      </c>
      <c r="AF68" s="1">
        <v>2.1526000000000001</v>
      </c>
    </row>
    <row r="69" spans="1:32" x14ac:dyDescent="0.2">
      <c r="A69" s="1">
        <v>53</v>
      </c>
      <c r="B69" s="1">
        <v>1</v>
      </c>
      <c r="C69" s="1">
        <v>25.1</v>
      </c>
      <c r="D69" s="1">
        <v>1</v>
      </c>
      <c r="E69" s="1">
        <v>1.9631000000000001</v>
      </c>
      <c r="F69" s="1">
        <v>0.77280000000000004</v>
      </c>
      <c r="G69" s="1">
        <v>0.308</v>
      </c>
      <c r="H69" s="1">
        <v>-0.35539999999999999</v>
      </c>
      <c r="I69" s="1">
        <v>1.6999999999999999E-3</v>
      </c>
      <c r="J69" s="1">
        <v>3.5148000000000001</v>
      </c>
      <c r="K69" s="1">
        <v>3.9093</v>
      </c>
      <c r="L69" s="1">
        <v>2.21</v>
      </c>
      <c r="M69" s="1">
        <v>-54.9</v>
      </c>
      <c r="N69" s="1">
        <v>1</v>
      </c>
      <c r="O69" s="1">
        <v>2.3843000000000001</v>
      </c>
      <c r="P69" s="1">
        <v>0.89149999999999996</v>
      </c>
      <c r="Q69" s="1">
        <v>8.72E-2</v>
      </c>
      <c r="R69" s="1">
        <v>-6.0299999999999999E-2</v>
      </c>
      <c r="S69" s="1">
        <v>2.4799999999999999E-2</v>
      </c>
      <c r="T69" s="1">
        <v>2.0266999999999999</v>
      </c>
      <c r="U69" s="1">
        <v>2.8054999999999999</v>
      </c>
      <c r="V69" s="1">
        <v>2.0345</v>
      </c>
      <c r="W69" s="1">
        <v>100.5</v>
      </c>
      <c r="X69" s="1">
        <v>1</v>
      </c>
      <c r="Y69" s="1">
        <v>1.4742</v>
      </c>
      <c r="AA69" s="1">
        <v>0.24210000000000001</v>
      </c>
      <c r="AB69" s="1">
        <v>-0.39510000000000001</v>
      </c>
      <c r="AC69" s="1">
        <v>0.1968</v>
      </c>
      <c r="AD69" s="1">
        <v>4.1054000000000004</v>
      </c>
      <c r="AE69" s="1">
        <v>5.0872000000000002</v>
      </c>
      <c r="AF69" s="1">
        <v>2.3906999999999998</v>
      </c>
    </row>
    <row r="70" spans="1:32" x14ac:dyDescent="0.2">
      <c r="A70" s="1">
        <v>54</v>
      </c>
      <c r="B70" s="1">
        <v>1</v>
      </c>
      <c r="C70" s="1">
        <v>25.1</v>
      </c>
      <c r="D70" s="1">
        <v>1</v>
      </c>
      <c r="E70" s="1">
        <v>1.9823</v>
      </c>
      <c r="F70" s="1">
        <v>0.77700000000000002</v>
      </c>
      <c r="G70" s="1">
        <v>0.18779999999999999</v>
      </c>
      <c r="H70" s="1">
        <v>-0.11020000000000001</v>
      </c>
      <c r="I70" s="1">
        <v>1.5E-3</v>
      </c>
      <c r="J70" s="1">
        <v>3.4554</v>
      </c>
      <c r="K70" s="1">
        <v>3.9176000000000002</v>
      </c>
      <c r="L70" s="1">
        <v>2.1154999999999999</v>
      </c>
      <c r="M70" s="1">
        <v>-55.2</v>
      </c>
      <c r="N70" s="1">
        <v>1</v>
      </c>
      <c r="O70" s="1">
        <v>2.3881000000000001</v>
      </c>
      <c r="P70" s="1">
        <v>0.89249999999999996</v>
      </c>
      <c r="Q70" s="1">
        <v>0.9345</v>
      </c>
      <c r="R70" s="1">
        <v>-4.8814000000000002</v>
      </c>
      <c r="S70" s="1">
        <v>2.5700000000000001E-2</v>
      </c>
      <c r="T70" s="1">
        <v>1.9988999999999999</v>
      </c>
      <c r="U70" s="1">
        <v>2.8342999999999998</v>
      </c>
      <c r="V70" s="1">
        <v>1.9447000000000001</v>
      </c>
      <c r="W70" s="1">
        <v>100.3</v>
      </c>
      <c r="X70" s="1">
        <v>1</v>
      </c>
      <c r="Y70" s="1">
        <v>1.4999</v>
      </c>
      <c r="AA70" s="1">
        <v>0.40379999999999999</v>
      </c>
      <c r="AB70" s="1">
        <v>-0.49370000000000003</v>
      </c>
      <c r="AC70" s="1">
        <v>0.18</v>
      </c>
      <c r="AD70" s="1">
        <v>4.0460000000000003</v>
      </c>
      <c r="AE70" s="1">
        <v>5.0865999999999998</v>
      </c>
      <c r="AF70" s="1">
        <v>2.2911999999999999</v>
      </c>
    </row>
    <row r="71" spans="1:32" x14ac:dyDescent="0.2">
      <c r="A71" s="1">
        <v>55</v>
      </c>
      <c r="B71" s="1">
        <v>1</v>
      </c>
      <c r="C71" s="1">
        <v>25.1</v>
      </c>
      <c r="D71" s="1">
        <v>1</v>
      </c>
      <c r="E71" s="1">
        <v>1.9491000000000001</v>
      </c>
      <c r="F71" s="1">
        <v>0.77439999999999998</v>
      </c>
      <c r="G71" s="1">
        <v>0.26390000000000002</v>
      </c>
      <c r="H71" s="1">
        <v>-0.36930000000000002</v>
      </c>
      <c r="I71" s="1">
        <v>1.5E-3</v>
      </c>
      <c r="J71" s="1">
        <v>3.4716999999999998</v>
      </c>
      <c r="K71" s="1">
        <v>3.8309000000000002</v>
      </c>
      <c r="L71" s="1">
        <v>2.0724999999999998</v>
      </c>
      <c r="M71" s="1">
        <v>-55.2</v>
      </c>
      <c r="N71" s="1">
        <v>1</v>
      </c>
      <c r="O71" s="1">
        <v>2.3841000000000001</v>
      </c>
      <c r="P71" s="1">
        <v>0.89480000000000004</v>
      </c>
      <c r="Q71" s="1">
        <v>3.2000000000000001E-2</v>
      </c>
      <c r="R71" s="1">
        <v>-3.5999999999999997E-2</v>
      </c>
      <c r="S71" s="1">
        <v>2.35E-2</v>
      </c>
      <c r="T71" s="1">
        <v>1.9617</v>
      </c>
      <c r="U71" s="1">
        <v>2.7191000000000001</v>
      </c>
      <c r="V71" s="1">
        <v>1.8991</v>
      </c>
      <c r="W71" s="1">
        <v>100.1</v>
      </c>
      <c r="X71" s="1">
        <v>1</v>
      </c>
      <c r="Y71" s="1">
        <v>1.4381999999999999</v>
      </c>
      <c r="AA71" s="1">
        <v>0.15010000000000001</v>
      </c>
      <c r="AB71" s="1">
        <v>-0.24640000000000001</v>
      </c>
      <c r="AC71" s="1">
        <v>0.24510000000000001</v>
      </c>
      <c r="AD71" s="1">
        <v>4.0671999999999997</v>
      </c>
      <c r="AE71" s="1">
        <v>5.0343999999999998</v>
      </c>
      <c r="AF71" s="1">
        <v>2.2541000000000002</v>
      </c>
    </row>
    <row r="72" spans="1:32" x14ac:dyDescent="0.2">
      <c r="A72" s="1">
        <v>56</v>
      </c>
      <c r="B72" s="1">
        <v>1</v>
      </c>
      <c r="C72" s="1">
        <v>25.1</v>
      </c>
      <c r="D72" s="1">
        <v>1</v>
      </c>
      <c r="E72" s="1">
        <v>2.1583000000000001</v>
      </c>
      <c r="F72" s="1">
        <v>0.78790000000000004</v>
      </c>
      <c r="G72" s="1">
        <v>0.48899999999999999</v>
      </c>
      <c r="H72" s="1">
        <v>-0.42730000000000001</v>
      </c>
      <c r="I72" s="1">
        <v>1.1000000000000001E-3</v>
      </c>
      <c r="J72" s="1">
        <v>3.3277000000000001</v>
      </c>
      <c r="K72" s="1">
        <v>3.7885</v>
      </c>
      <c r="L72" s="1">
        <v>1.7238</v>
      </c>
      <c r="M72" s="1">
        <v>-55.1</v>
      </c>
      <c r="N72" s="1">
        <v>1</v>
      </c>
      <c r="O72" s="1">
        <v>2.3990999999999998</v>
      </c>
      <c r="P72" s="1">
        <v>0.90390000000000004</v>
      </c>
      <c r="Q72" s="1">
        <v>0.26469999999999999</v>
      </c>
      <c r="R72" s="1">
        <v>-0.31330000000000002</v>
      </c>
      <c r="S72" s="1">
        <v>2.06E-2</v>
      </c>
      <c r="T72" s="1">
        <v>1.2682</v>
      </c>
      <c r="U72" s="1">
        <v>2.7357</v>
      </c>
      <c r="V72" s="1">
        <v>1.5622</v>
      </c>
      <c r="W72" s="1">
        <v>100.7</v>
      </c>
      <c r="X72" s="1">
        <v>1</v>
      </c>
      <c r="Y72" s="1">
        <v>1.6102000000000001</v>
      </c>
      <c r="AA72" s="1">
        <v>0.64759999999999995</v>
      </c>
      <c r="AB72" s="1">
        <v>-0.68769999999999998</v>
      </c>
      <c r="AC72" s="1">
        <v>0.23250000000000001</v>
      </c>
      <c r="AD72" s="1">
        <v>3.3290999999999999</v>
      </c>
      <c r="AE72" s="1">
        <v>4.9625000000000004</v>
      </c>
      <c r="AF72" s="1">
        <v>1.8900999999999999</v>
      </c>
    </row>
    <row r="73" spans="1:32" x14ac:dyDescent="0.2">
      <c r="A73" s="1">
        <v>57</v>
      </c>
      <c r="B73" s="1">
        <v>1</v>
      </c>
      <c r="C73" s="1">
        <v>24.9</v>
      </c>
      <c r="D73" s="1">
        <v>1</v>
      </c>
      <c r="E73" s="1">
        <v>2.2494999999999998</v>
      </c>
      <c r="F73" s="1">
        <v>0.79090000000000005</v>
      </c>
      <c r="G73" s="1">
        <v>0.50980000000000003</v>
      </c>
      <c r="H73" s="1">
        <v>-0.46289999999999998</v>
      </c>
      <c r="I73" s="1">
        <v>1.5E-3</v>
      </c>
      <c r="J73" s="1">
        <v>3.2843</v>
      </c>
      <c r="K73" s="1">
        <v>3.8224</v>
      </c>
      <c r="L73" s="1">
        <v>1.6660999999999999</v>
      </c>
      <c r="M73" s="1">
        <v>-55.1</v>
      </c>
      <c r="N73" s="1">
        <v>1</v>
      </c>
      <c r="O73" s="1">
        <v>2.3993000000000002</v>
      </c>
      <c r="P73" s="1">
        <v>0.90739999999999998</v>
      </c>
      <c r="Q73" s="1">
        <v>0.498</v>
      </c>
      <c r="R73" s="1">
        <v>-0.39710000000000001</v>
      </c>
      <c r="S73" s="1">
        <v>1.95E-2</v>
      </c>
      <c r="T73" s="1">
        <v>1.3344</v>
      </c>
      <c r="U73" s="1">
        <v>2.8043</v>
      </c>
      <c r="V73" s="1">
        <v>1.5084</v>
      </c>
      <c r="W73" s="1">
        <v>100.2</v>
      </c>
      <c r="X73" s="1">
        <v>1</v>
      </c>
      <c r="Y73" s="1">
        <v>1.6794</v>
      </c>
      <c r="AA73" s="1">
        <v>0.44450000000000001</v>
      </c>
      <c r="AB73" s="1">
        <v>-0.61809999999999998</v>
      </c>
      <c r="AC73" s="1">
        <v>0.20949999999999999</v>
      </c>
      <c r="AD73" s="1">
        <v>3.2761</v>
      </c>
      <c r="AE73" s="1">
        <v>4.9443999999999999</v>
      </c>
      <c r="AF73" s="1">
        <v>1.8290999999999999</v>
      </c>
    </row>
    <row r="74" spans="1:32" x14ac:dyDescent="0.2">
      <c r="A74" s="1">
        <v>58</v>
      </c>
      <c r="B74" s="1">
        <v>1</v>
      </c>
      <c r="C74" s="1">
        <v>25</v>
      </c>
      <c r="D74" s="1">
        <v>1</v>
      </c>
      <c r="E74" s="1">
        <v>2.0106000000000002</v>
      </c>
      <c r="F74" s="1">
        <v>0.77429999999999999</v>
      </c>
      <c r="G74" s="1">
        <v>0.2044</v>
      </c>
      <c r="H74" s="1">
        <v>-0.33829999999999999</v>
      </c>
      <c r="I74" s="1">
        <v>1.6000000000000001E-3</v>
      </c>
      <c r="J74" s="1">
        <v>3.4506000000000001</v>
      </c>
      <c r="K74" s="1">
        <v>3.895</v>
      </c>
      <c r="L74" s="1">
        <v>2.1932</v>
      </c>
      <c r="M74" s="1">
        <v>-54.8</v>
      </c>
      <c r="N74" s="1">
        <v>1</v>
      </c>
      <c r="O74" s="1">
        <v>2.4394</v>
      </c>
      <c r="P74" s="1">
        <v>0.89170000000000005</v>
      </c>
      <c r="Q74" s="1">
        <v>7.0999999999999994E-2</v>
      </c>
      <c r="R74" s="1">
        <v>-2.7900000000000001E-2</v>
      </c>
      <c r="S74" s="1">
        <v>2.5700000000000001E-2</v>
      </c>
      <c r="T74" s="1">
        <v>2.0066999999999999</v>
      </c>
      <c r="U74" s="1">
        <v>2.8083999999999998</v>
      </c>
      <c r="V74" s="1">
        <v>2.0196000000000001</v>
      </c>
      <c r="W74" s="1">
        <v>100.3</v>
      </c>
      <c r="X74" s="1">
        <v>1</v>
      </c>
      <c r="Y74" s="1">
        <v>1.5179</v>
      </c>
      <c r="AA74" s="1">
        <v>0.29010000000000002</v>
      </c>
      <c r="AB74" s="1">
        <v>-0.2515</v>
      </c>
      <c r="AC74" s="1">
        <v>0.1696</v>
      </c>
      <c r="AD74" s="1">
        <v>4.0388000000000002</v>
      </c>
      <c r="AE74" s="1">
        <v>5.0590000000000002</v>
      </c>
      <c r="AF74" s="1">
        <v>2.3706999999999998</v>
      </c>
    </row>
    <row r="75" spans="1:32" x14ac:dyDescent="0.2">
      <c r="A75" s="1">
        <v>59</v>
      </c>
      <c r="B75" s="1">
        <v>1</v>
      </c>
      <c r="C75" s="1">
        <v>25.1</v>
      </c>
      <c r="D75" s="1">
        <v>1</v>
      </c>
      <c r="E75" s="1">
        <v>1.9743999999999999</v>
      </c>
      <c r="F75" s="1">
        <v>0.77559999999999996</v>
      </c>
      <c r="G75" s="1">
        <v>9.06E-2</v>
      </c>
      <c r="H75" s="1">
        <v>-0.27350000000000002</v>
      </c>
      <c r="I75" s="1">
        <v>1.6000000000000001E-3</v>
      </c>
      <c r="J75" s="1">
        <v>3.4588999999999999</v>
      </c>
      <c r="K75" s="1">
        <v>3.86</v>
      </c>
      <c r="L75" s="1">
        <v>2.1560000000000001</v>
      </c>
      <c r="M75" s="1">
        <v>-55.3</v>
      </c>
      <c r="N75" s="1">
        <v>1</v>
      </c>
      <c r="O75" s="1">
        <v>2.4060000000000001</v>
      </c>
      <c r="P75" s="1">
        <v>0.89349999999999996</v>
      </c>
      <c r="Q75" s="1">
        <v>2.0500000000000001E-2</v>
      </c>
      <c r="R75" s="1">
        <v>-4.9000000000000002E-2</v>
      </c>
      <c r="S75" s="1">
        <v>2.6599999999999999E-2</v>
      </c>
      <c r="T75" s="1">
        <v>1.9970000000000001</v>
      </c>
      <c r="U75" s="1">
        <v>2.7829000000000002</v>
      </c>
      <c r="V75" s="1">
        <v>1.9831000000000001</v>
      </c>
      <c r="W75" s="1">
        <v>100.3</v>
      </c>
      <c r="X75" s="1">
        <v>1</v>
      </c>
      <c r="Y75" s="1">
        <v>1.4722</v>
      </c>
      <c r="AA75" s="1">
        <v>0.38669999999999999</v>
      </c>
      <c r="AB75" s="1">
        <v>-0.35349999999999998</v>
      </c>
      <c r="AC75" s="1">
        <v>0.19139999999999999</v>
      </c>
      <c r="AD75" s="1">
        <v>3.9843999999999999</v>
      </c>
      <c r="AE75" s="1">
        <v>5.0663999999999998</v>
      </c>
      <c r="AF75" s="1">
        <v>2.3359000000000001</v>
      </c>
    </row>
    <row r="76" spans="1:32" x14ac:dyDescent="0.2">
      <c r="A76" s="1">
        <v>60</v>
      </c>
      <c r="B76" s="1">
        <v>1</v>
      </c>
      <c r="C76" s="1">
        <v>25.1</v>
      </c>
      <c r="D76" s="1">
        <v>1</v>
      </c>
      <c r="E76" s="1">
        <v>2.0206</v>
      </c>
      <c r="F76" s="1">
        <v>0.78110000000000002</v>
      </c>
      <c r="G76" s="1">
        <v>0.33360000000000001</v>
      </c>
      <c r="H76" s="1">
        <v>-0.23330000000000001</v>
      </c>
      <c r="I76" s="1">
        <v>1.5E-3</v>
      </c>
      <c r="J76" s="1">
        <v>3.4214000000000002</v>
      </c>
      <c r="K76" s="1">
        <v>3.9458000000000002</v>
      </c>
      <c r="L76" s="1">
        <v>1.9080999999999999</v>
      </c>
      <c r="M76" s="1">
        <v>-55.1</v>
      </c>
      <c r="N76" s="1">
        <v>1</v>
      </c>
      <c r="O76" s="1">
        <v>2.4439000000000002</v>
      </c>
      <c r="P76" s="1">
        <v>0.89539999999999997</v>
      </c>
      <c r="Q76" s="1">
        <v>0.39529999999999998</v>
      </c>
      <c r="R76" s="1">
        <v>-1.5046999999999999</v>
      </c>
      <c r="S76" s="1">
        <v>2.3599999999999999E-2</v>
      </c>
      <c r="T76" s="1">
        <v>1.9956</v>
      </c>
      <c r="U76" s="1">
        <v>2.8893</v>
      </c>
      <c r="V76" s="1">
        <v>1.7450000000000001</v>
      </c>
      <c r="W76" s="1">
        <v>100.5</v>
      </c>
      <c r="X76" s="1">
        <v>1</v>
      </c>
      <c r="Y76" s="1">
        <v>1.5265</v>
      </c>
      <c r="AA76" s="1">
        <v>0.34810000000000002</v>
      </c>
      <c r="AB76" s="1">
        <v>-0.53890000000000005</v>
      </c>
      <c r="AC76" s="1">
        <v>0.16589999999999999</v>
      </c>
      <c r="AD76" s="1">
        <v>4.0585000000000004</v>
      </c>
      <c r="AE76" s="1">
        <v>5.1352000000000002</v>
      </c>
      <c r="AF76" s="1">
        <v>2.0741999999999998</v>
      </c>
    </row>
    <row r="77" spans="1:32" x14ac:dyDescent="0.2">
      <c r="A77" s="1">
        <v>61</v>
      </c>
      <c r="B77" s="1">
        <v>1</v>
      </c>
      <c r="C77" s="1">
        <v>25.1</v>
      </c>
      <c r="D77" s="1">
        <v>1</v>
      </c>
      <c r="E77" s="1">
        <v>1.9357</v>
      </c>
      <c r="F77" s="1">
        <v>0.77390000000000003</v>
      </c>
      <c r="G77" s="1">
        <v>8.0500000000000002E-2</v>
      </c>
      <c r="H77" s="1">
        <v>-0.21820000000000001</v>
      </c>
      <c r="I77" s="1">
        <v>1.6999999999999999E-3</v>
      </c>
      <c r="J77" s="1">
        <v>3.4817</v>
      </c>
      <c r="K77" s="1">
        <v>3.8511000000000002</v>
      </c>
      <c r="L77" s="1">
        <v>2.1431</v>
      </c>
      <c r="M77" s="1">
        <v>-55.2</v>
      </c>
      <c r="N77" s="1">
        <v>1</v>
      </c>
      <c r="O77" s="1">
        <v>2.3595000000000002</v>
      </c>
      <c r="P77" s="1">
        <v>0.89119999999999999</v>
      </c>
      <c r="Q77" s="1">
        <v>0.30740000000000001</v>
      </c>
      <c r="R77" s="1">
        <v>-5.3311000000000002</v>
      </c>
      <c r="S77" s="1">
        <v>2.3900000000000001E-2</v>
      </c>
      <c r="T77" s="1">
        <v>2.0005000000000002</v>
      </c>
      <c r="U77" s="1">
        <v>2.7551000000000001</v>
      </c>
      <c r="V77" s="1">
        <v>1.9725999999999999</v>
      </c>
      <c r="W77" s="1">
        <v>100.2</v>
      </c>
      <c r="X77" s="1">
        <v>1</v>
      </c>
      <c r="Y77" s="1">
        <v>1.4403999999999999</v>
      </c>
      <c r="AA77" s="1">
        <v>0.27610000000000001</v>
      </c>
      <c r="AB77" s="1">
        <v>-0.28189999999999998</v>
      </c>
      <c r="AC77" s="1">
        <v>0.20599999999999999</v>
      </c>
      <c r="AD77" s="1">
        <v>4.0720999999999998</v>
      </c>
      <c r="AE77" s="1">
        <v>5.0488999999999997</v>
      </c>
      <c r="AF77" s="1">
        <v>2.3222999999999998</v>
      </c>
    </row>
    <row r="78" spans="1:32" x14ac:dyDescent="0.2">
      <c r="A78" s="1">
        <v>62</v>
      </c>
      <c r="B78" s="1">
        <v>1</v>
      </c>
      <c r="C78" s="1">
        <v>25</v>
      </c>
      <c r="D78" s="1">
        <v>1</v>
      </c>
      <c r="E78" s="1">
        <v>2.3008999999999999</v>
      </c>
      <c r="F78" s="1">
        <v>0.78769999999999996</v>
      </c>
      <c r="G78" s="1">
        <v>0.53249999999999997</v>
      </c>
      <c r="H78" s="1">
        <v>-0.44219999999999998</v>
      </c>
      <c r="I78" s="1">
        <v>1.6000000000000001E-3</v>
      </c>
      <c r="J78" s="1">
        <v>3.2372999999999998</v>
      </c>
      <c r="K78" s="1">
        <v>3.8479000000000001</v>
      </c>
      <c r="L78" s="1">
        <v>1.8827</v>
      </c>
      <c r="M78" s="1">
        <v>-55.2</v>
      </c>
      <c r="N78" s="1">
        <v>1</v>
      </c>
      <c r="O78" s="1">
        <v>2.3994</v>
      </c>
      <c r="P78" s="1">
        <v>0.9042</v>
      </c>
      <c r="Q78" s="1">
        <v>0.28649999999999998</v>
      </c>
      <c r="R78" s="1">
        <v>-0.3226</v>
      </c>
      <c r="S78" s="1">
        <v>2.1399999999999999E-2</v>
      </c>
      <c r="T78" s="1">
        <v>1.2761</v>
      </c>
      <c r="U78" s="1">
        <v>2.8323999999999998</v>
      </c>
      <c r="V78" s="1">
        <v>1.7156</v>
      </c>
      <c r="W78" s="1">
        <v>100.5</v>
      </c>
      <c r="X78" s="1">
        <v>1</v>
      </c>
      <c r="Y78" s="1">
        <v>1.7041999999999999</v>
      </c>
      <c r="AA78" s="1">
        <v>0.47060000000000002</v>
      </c>
      <c r="AB78" s="1">
        <v>-0.63660000000000005</v>
      </c>
      <c r="AC78" s="1">
        <v>0.1812</v>
      </c>
      <c r="AD78" s="1">
        <v>3.3778000000000001</v>
      </c>
      <c r="AE78" s="1">
        <v>5.0084</v>
      </c>
      <c r="AF78" s="1">
        <v>2.04</v>
      </c>
    </row>
    <row r="79" spans="1:32" x14ac:dyDescent="0.2">
      <c r="A79" s="1">
        <v>63</v>
      </c>
      <c r="B79" s="1">
        <v>1</v>
      </c>
      <c r="C79" s="1">
        <v>25.1</v>
      </c>
      <c r="D79" s="1">
        <v>1</v>
      </c>
      <c r="E79" s="1">
        <v>1.9058999999999999</v>
      </c>
      <c r="F79" s="1">
        <v>0.77329999999999999</v>
      </c>
      <c r="G79" s="1">
        <v>0.2777</v>
      </c>
      <c r="H79" s="1">
        <v>-0.3569</v>
      </c>
      <c r="I79" s="1">
        <v>1.6000000000000001E-3</v>
      </c>
      <c r="J79" s="1">
        <v>3.5379999999999998</v>
      </c>
      <c r="K79" s="1">
        <v>3.8872</v>
      </c>
      <c r="L79" s="1">
        <v>2.3029999999999999</v>
      </c>
      <c r="M79" s="1">
        <v>-55.5</v>
      </c>
      <c r="N79" s="1">
        <v>1</v>
      </c>
      <c r="O79" s="1">
        <v>2.3182</v>
      </c>
      <c r="P79" s="1">
        <v>0.89100000000000001</v>
      </c>
      <c r="Q79" s="1">
        <v>0.2135</v>
      </c>
      <c r="R79" s="1">
        <v>-9.3799999999999994E-2</v>
      </c>
      <c r="S79" s="1">
        <v>2.3599999999999999E-2</v>
      </c>
      <c r="T79" s="1">
        <v>2.0672999999999999</v>
      </c>
      <c r="U79" s="1">
        <v>2.7902</v>
      </c>
      <c r="V79" s="1">
        <v>2.1297999999999999</v>
      </c>
      <c r="W79" s="1">
        <v>100.3</v>
      </c>
      <c r="X79" s="1">
        <v>1</v>
      </c>
      <c r="Y79" s="1">
        <v>1.4269000000000001</v>
      </c>
      <c r="AA79" s="1">
        <v>0.1883</v>
      </c>
      <c r="AB79" s="1">
        <v>-0.4042</v>
      </c>
      <c r="AC79" s="1">
        <v>0.1762</v>
      </c>
      <c r="AD79" s="1">
        <v>4.0959000000000003</v>
      </c>
      <c r="AE79" s="1">
        <v>5.0914000000000001</v>
      </c>
      <c r="AF79" s="1">
        <v>2.4832000000000001</v>
      </c>
    </row>
    <row r="80" spans="1:32" x14ac:dyDescent="0.2">
      <c r="A80" s="1">
        <v>64</v>
      </c>
      <c r="B80" s="1">
        <v>1</v>
      </c>
      <c r="C80" s="1">
        <v>25.2</v>
      </c>
      <c r="D80" s="1">
        <v>1</v>
      </c>
      <c r="E80" s="1">
        <v>2.0379999999999998</v>
      </c>
      <c r="F80" s="1">
        <v>0.77629999999999999</v>
      </c>
      <c r="G80" s="1">
        <v>0.21579999999999999</v>
      </c>
      <c r="H80" s="1">
        <v>-0.38319999999999999</v>
      </c>
      <c r="I80" s="1">
        <v>1.4E-3</v>
      </c>
      <c r="J80" s="1">
        <v>3.4439000000000002</v>
      </c>
      <c r="K80" s="1">
        <v>3.8774000000000002</v>
      </c>
      <c r="L80" s="1">
        <v>1.9883999999999999</v>
      </c>
      <c r="M80" s="1">
        <v>-55.1</v>
      </c>
      <c r="N80" s="1">
        <v>1</v>
      </c>
      <c r="O80" s="1">
        <v>2.4756</v>
      </c>
      <c r="P80" s="1">
        <v>0.89510000000000001</v>
      </c>
      <c r="Q80" s="1">
        <v>0.26390000000000002</v>
      </c>
      <c r="R80" s="1">
        <v>-0.30270000000000002</v>
      </c>
      <c r="S80" s="1">
        <v>2.3900000000000001E-2</v>
      </c>
      <c r="T80" s="1">
        <v>1.9416</v>
      </c>
      <c r="U80" s="1">
        <v>2.7902999999999998</v>
      </c>
      <c r="V80" s="1">
        <v>1.8181</v>
      </c>
      <c r="W80" s="1">
        <v>100.6</v>
      </c>
      <c r="X80" s="1">
        <v>1</v>
      </c>
      <c r="Y80" s="1">
        <v>1.5226999999999999</v>
      </c>
      <c r="AA80" s="1">
        <v>0.22869999999999999</v>
      </c>
      <c r="AB80" s="1">
        <v>-0.22650000000000001</v>
      </c>
      <c r="AC80" s="1">
        <v>0.2203</v>
      </c>
      <c r="AD80" s="1">
        <v>4.0473999999999997</v>
      </c>
      <c r="AE80" s="1">
        <v>5.1071999999999997</v>
      </c>
      <c r="AF80" s="1">
        <v>2.1648000000000001</v>
      </c>
    </row>
    <row r="81" spans="1:32" x14ac:dyDescent="0.2">
      <c r="A81" s="1">
        <v>65</v>
      </c>
      <c r="B81" s="1">
        <v>1</v>
      </c>
      <c r="C81" s="1">
        <v>24.9</v>
      </c>
      <c r="D81" s="1">
        <v>1</v>
      </c>
      <c r="E81" s="1">
        <v>2.1314000000000002</v>
      </c>
      <c r="F81" s="1">
        <v>0.78310000000000002</v>
      </c>
      <c r="G81" s="1">
        <v>0.55020000000000002</v>
      </c>
      <c r="H81" s="1">
        <v>-0.57899999999999996</v>
      </c>
      <c r="I81" s="1">
        <v>1.2999999999999999E-3</v>
      </c>
      <c r="J81" s="1">
        <v>3.3111000000000002</v>
      </c>
      <c r="K81" s="1">
        <v>3.7</v>
      </c>
      <c r="L81" s="1">
        <v>1.8255999999999999</v>
      </c>
      <c r="M81" s="1">
        <v>-54.9</v>
      </c>
      <c r="N81" s="1">
        <v>1</v>
      </c>
      <c r="O81" s="1">
        <v>2.3996</v>
      </c>
      <c r="P81" s="1">
        <v>0.89990000000000003</v>
      </c>
      <c r="Q81" s="1">
        <v>0.32450000000000001</v>
      </c>
      <c r="R81" s="1">
        <v>-0.3206</v>
      </c>
      <c r="S81" s="1">
        <v>2.06E-2</v>
      </c>
      <c r="T81" s="1">
        <v>1.3613</v>
      </c>
      <c r="U81" s="1">
        <v>2.5912000000000002</v>
      </c>
      <c r="V81" s="1">
        <v>1.6539999999999999</v>
      </c>
      <c r="W81" s="1">
        <v>100.7</v>
      </c>
      <c r="X81" s="1">
        <v>1</v>
      </c>
      <c r="Y81" s="1">
        <v>1.6111</v>
      </c>
      <c r="AA81" s="1">
        <v>0.67969999999999997</v>
      </c>
      <c r="AB81" s="1">
        <v>-0.73199999999999998</v>
      </c>
      <c r="AC81" s="1">
        <v>0.18870000000000001</v>
      </c>
      <c r="AD81" s="1">
        <v>3.3222999999999998</v>
      </c>
      <c r="AE81" s="1">
        <v>4.8182999999999998</v>
      </c>
      <c r="AF81" s="1">
        <v>1.9870000000000001</v>
      </c>
    </row>
    <row r="82" spans="1:32" x14ac:dyDescent="0.2">
      <c r="A82" s="1">
        <v>66</v>
      </c>
      <c r="B82" s="1">
        <v>1</v>
      </c>
      <c r="C82" s="1">
        <v>25.1</v>
      </c>
      <c r="D82" s="1">
        <v>1</v>
      </c>
      <c r="E82" s="1">
        <v>2.0259</v>
      </c>
      <c r="F82" s="1">
        <v>0.78049999999999997</v>
      </c>
      <c r="G82" s="1">
        <v>0.32429999999999998</v>
      </c>
      <c r="H82" s="1">
        <v>-0.2802</v>
      </c>
      <c r="I82" s="1">
        <v>1.4E-3</v>
      </c>
      <c r="J82" s="1">
        <v>3.3704999999999998</v>
      </c>
      <c r="K82" s="1">
        <v>3.8763000000000001</v>
      </c>
      <c r="L82" s="1">
        <v>1.8674999999999999</v>
      </c>
      <c r="M82" s="1">
        <v>-55.2</v>
      </c>
      <c r="N82" s="1">
        <v>1</v>
      </c>
      <c r="O82" s="1">
        <v>2.4443999999999999</v>
      </c>
      <c r="P82" s="1">
        <v>0.89400000000000002</v>
      </c>
      <c r="Q82" s="1">
        <v>0.2797</v>
      </c>
      <c r="R82" s="1">
        <v>-0.26529999999999998</v>
      </c>
      <c r="S82" s="1">
        <v>2.4299999999999999E-2</v>
      </c>
      <c r="T82" s="1">
        <v>1.9529000000000001</v>
      </c>
      <c r="U82" s="1">
        <v>2.8121</v>
      </c>
      <c r="V82" s="1">
        <v>1.7058</v>
      </c>
      <c r="W82" s="1">
        <v>100.4</v>
      </c>
      <c r="X82" s="1">
        <v>1</v>
      </c>
      <c r="Y82" s="1">
        <v>1.5355000000000001</v>
      </c>
      <c r="AA82" s="1">
        <v>0.3211</v>
      </c>
      <c r="AB82" s="1">
        <v>-0.318</v>
      </c>
      <c r="AC82" s="1">
        <v>0.15989999999999999</v>
      </c>
      <c r="AD82" s="1">
        <v>3.9687000000000001</v>
      </c>
      <c r="AE82" s="1">
        <v>5.0319000000000003</v>
      </c>
      <c r="AF82" s="1">
        <v>2.0318999999999998</v>
      </c>
    </row>
    <row r="83" spans="1:32" x14ac:dyDescent="0.2">
      <c r="A83" s="1">
        <v>67</v>
      </c>
      <c r="B83" s="1">
        <v>1</v>
      </c>
      <c r="C83" s="1">
        <v>25.1</v>
      </c>
      <c r="D83" s="1">
        <v>1</v>
      </c>
      <c r="E83" s="1">
        <v>1.917</v>
      </c>
      <c r="F83" s="1">
        <v>0.77339999999999998</v>
      </c>
      <c r="G83" s="1">
        <v>0.28239999999999998</v>
      </c>
      <c r="H83" s="1">
        <v>-0.36109999999999998</v>
      </c>
      <c r="I83" s="1">
        <v>1.5E-3</v>
      </c>
      <c r="J83" s="1">
        <v>3.5710999999999999</v>
      </c>
      <c r="K83" s="1">
        <v>3.9195000000000002</v>
      </c>
      <c r="L83" s="1">
        <v>2.2967</v>
      </c>
      <c r="M83" s="1">
        <v>-55</v>
      </c>
      <c r="N83" s="1">
        <v>1</v>
      </c>
      <c r="O83" s="1">
        <v>2.3424</v>
      </c>
      <c r="P83" s="1">
        <v>0.89090000000000003</v>
      </c>
      <c r="Q83" s="1">
        <v>0.2787</v>
      </c>
      <c r="R83" s="1">
        <v>-0.16250000000000001</v>
      </c>
      <c r="S83" s="1">
        <v>2.5399999999999999E-2</v>
      </c>
      <c r="T83" s="1">
        <v>2.0247999999999999</v>
      </c>
      <c r="U83" s="1">
        <v>2.7932999999999999</v>
      </c>
      <c r="V83" s="1">
        <v>2.1225000000000001</v>
      </c>
      <c r="W83" s="1">
        <v>100.4</v>
      </c>
      <c r="X83" s="1">
        <v>1</v>
      </c>
      <c r="Y83" s="1">
        <v>1.4253</v>
      </c>
      <c r="AA83" s="1">
        <v>0.28349999999999997</v>
      </c>
      <c r="AB83" s="1">
        <v>-0.26700000000000002</v>
      </c>
      <c r="AC83" s="1">
        <v>0.18990000000000001</v>
      </c>
      <c r="AD83" s="1">
        <v>4.1661999999999999</v>
      </c>
      <c r="AE83" s="1">
        <v>5.1105999999999998</v>
      </c>
      <c r="AF83" s="1">
        <v>2.4790999999999999</v>
      </c>
    </row>
    <row r="84" spans="1:32" x14ac:dyDescent="0.2">
      <c r="A84" s="1">
        <v>68</v>
      </c>
      <c r="B84" s="1">
        <v>1</v>
      </c>
      <c r="C84" s="1">
        <v>25.2</v>
      </c>
      <c r="D84" s="1">
        <v>1</v>
      </c>
      <c r="E84" s="1">
        <v>1.909</v>
      </c>
      <c r="F84" s="1">
        <v>0.77239999999999998</v>
      </c>
      <c r="G84" s="1">
        <v>0.1769</v>
      </c>
      <c r="H84" s="1">
        <v>-0.3251</v>
      </c>
      <c r="I84" s="1">
        <v>1.6999999999999999E-3</v>
      </c>
      <c r="J84" s="1">
        <v>3.5508000000000002</v>
      </c>
      <c r="K84" s="1">
        <v>3.9199000000000002</v>
      </c>
      <c r="L84" s="1">
        <v>2.3289</v>
      </c>
      <c r="M84" s="1">
        <v>-55</v>
      </c>
      <c r="N84" s="1">
        <v>1</v>
      </c>
      <c r="O84" s="1">
        <v>2.3287</v>
      </c>
      <c r="P84" s="1">
        <v>0.88880000000000003</v>
      </c>
      <c r="Q84" s="1">
        <v>5.0999999999999997E-2</v>
      </c>
      <c r="R84" s="1">
        <v>-3.8600000000000002E-2</v>
      </c>
      <c r="S84" s="1">
        <v>2.5000000000000001E-2</v>
      </c>
      <c r="T84" s="1">
        <v>2.032</v>
      </c>
      <c r="U84" s="1">
        <v>2.8132999999999999</v>
      </c>
      <c r="V84" s="1">
        <v>2.16</v>
      </c>
      <c r="W84" s="1">
        <v>100.1</v>
      </c>
      <c r="X84" s="1">
        <v>1</v>
      </c>
      <c r="Y84" s="1">
        <v>1.4259999999999999</v>
      </c>
      <c r="AA84" s="1">
        <v>0.1767</v>
      </c>
      <c r="AB84" s="1">
        <v>-0.29310000000000003</v>
      </c>
      <c r="AC84" s="1">
        <v>0.18459999999999999</v>
      </c>
      <c r="AD84" s="1">
        <v>4.1722999999999999</v>
      </c>
      <c r="AE84" s="1">
        <v>5.1131000000000002</v>
      </c>
      <c r="AF84" s="1">
        <v>2.5110999999999999</v>
      </c>
    </row>
    <row r="85" spans="1:32" x14ac:dyDescent="0.2">
      <c r="A85" s="1">
        <v>69</v>
      </c>
      <c r="B85" s="1">
        <v>1</v>
      </c>
      <c r="C85" s="1">
        <v>24.9</v>
      </c>
      <c r="D85" s="1">
        <v>1</v>
      </c>
      <c r="E85" s="1">
        <v>1.9179999999999999</v>
      </c>
      <c r="F85" s="1">
        <v>0.77300000000000002</v>
      </c>
      <c r="G85" s="1">
        <v>0.2457</v>
      </c>
      <c r="H85" s="1">
        <v>-0.1108</v>
      </c>
      <c r="I85" s="1">
        <v>1.8E-3</v>
      </c>
      <c r="J85" s="1">
        <v>3.5514999999999999</v>
      </c>
      <c r="K85" s="1">
        <v>3.91</v>
      </c>
      <c r="L85" s="1">
        <v>2.3237999999999999</v>
      </c>
      <c r="M85" s="1">
        <v>-55</v>
      </c>
      <c r="N85" s="1">
        <v>1</v>
      </c>
      <c r="O85" s="1">
        <v>2.3409</v>
      </c>
      <c r="P85" s="1">
        <v>0.88980000000000004</v>
      </c>
      <c r="Q85" s="1">
        <v>4.4499999999999998E-2</v>
      </c>
      <c r="R85" s="1">
        <v>-3.6900000000000002E-2</v>
      </c>
      <c r="S85" s="1">
        <v>2.5100000000000001E-2</v>
      </c>
      <c r="T85" s="1">
        <v>2.0468000000000002</v>
      </c>
      <c r="U85" s="1">
        <v>2.8111000000000002</v>
      </c>
      <c r="V85" s="1">
        <v>2.1520000000000001</v>
      </c>
      <c r="W85" s="1">
        <v>100.4</v>
      </c>
      <c r="X85" s="1">
        <v>1</v>
      </c>
      <c r="Y85" s="1">
        <v>1.4350000000000001</v>
      </c>
      <c r="AA85" s="1">
        <v>0.41810000000000003</v>
      </c>
      <c r="AB85" s="1">
        <v>-0.51070000000000004</v>
      </c>
      <c r="AC85" s="1">
        <v>0.17419999999999999</v>
      </c>
      <c r="AD85" s="1">
        <v>4.1289999999999996</v>
      </c>
      <c r="AE85" s="1">
        <v>5.0896999999999997</v>
      </c>
      <c r="AF85" s="1">
        <v>2.5038999999999998</v>
      </c>
    </row>
    <row r="86" spans="1:32" x14ac:dyDescent="0.2">
      <c r="A86" s="1">
        <v>70</v>
      </c>
      <c r="B86" s="1">
        <v>1</v>
      </c>
      <c r="C86" s="1">
        <v>25</v>
      </c>
      <c r="D86" s="1">
        <v>1</v>
      </c>
      <c r="E86" s="1">
        <v>1.96</v>
      </c>
      <c r="F86" s="1">
        <v>0.78149999999999997</v>
      </c>
      <c r="G86" s="1">
        <v>0.29749999999999999</v>
      </c>
      <c r="H86" s="1">
        <v>-0.23380000000000001</v>
      </c>
      <c r="I86" s="1">
        <v>1.5E-3</v>
      </c>
      <c r="J86" s="1">
        <v>3.3946000000000001</v>
      </c>
      <c r="K86" s="1">
        <v>4.1265000000000001</v>
      </c>
      <c r="L86" s="1">
        <v>1.8071999999999999</v>
      </c>
      <c r="M86" s="1">
        <v>-55</v>
      </c>
      <c r="N86" s="1">
        <v>1</v>
      </c>
      <c r="O86" s="1">
        <v>2.3479000000000001</v>
      </c>
      <c r="P86" s="1">
        <v>0.89500000000000002</v>
      </c>
      <c r="Q86" s="1">
        <v>0.2387</v>
      </c>
      <c r="R86" s="1">
        <v>-0.12089999999999999</v>
      </c>
      <c r="S86" s="1">
        <v>2.52E-2</v>
      </c>
      <c r="T86" s="1">
        <v>1.9731000000000001</v>
      </c>
      <c r="U86" s="1">
        <v>3.0289999999999999</v>
      </c>
      <c r="V86" s="1">
        <v>1.6473</v>
      </c>
      <c r="W86" s="1">
        <v>100</v>
      </c>
      <c r="X86" s="1">
        <v>1</v>
      </c>
      <c r="Y86" s="1">
        <v>1.5143</v>
      </c>
      <c r="AA86" s="1">
        <v>0.29260000000000003</v>
      </c>
      <c r="AB86" s="1">
        <v>-0.25829999999999997</v>
      </c>
      <c r="AC86" s="1">
        <v>0.15540000000000001</v>
      </c>
      <c r="AD86" s="1">
        <v>3.9643999999999999</v>
      </c>
      <c r="AE86" s="1">
        <v>5.2458999999999998</v>
      </c>
      <c r="AF86" s="1">
        <v>1.9673</v>
      </c>
    </row>
    <row r="87" spans="1:32" x14ac:dyDescent="0.2">
      <c r="A87" s="1">
        <v>71</v>
      </c>
      <c r="B87" s="1">
        <v>1</v>
      </c>
      <c r="C87" s="1">
        <v>25.1</v>
      </c>
      <c r="D87" s="1">
        <v>1</v>
      </c>
      <c r="E87" s="1">
        <v>2.0316999999999998</v>
      </c>
      <c r="F87" s="1">
        <v>0.77590000000000003</v>
      </c>
      <c r="G87" s="1">
        <v>0.193</v>
      </c>
      <c r="H87" s="1">
        <v>-0.1234</v>
      </c>
      <c r="I87" s="1">
        <v>1.1999999999999999E-3</v>
      </c>
      <c r="J87" s="1">
        <v>3.4350000000000001</v>
      </c>
      <c r="K87" s="1">
        <v>3.9066000000000001</v>
      </c>
      <c r="L87" s="1">
        <v>2.1036000000000001</v>
      </c>
      <c r="M87" s="1">
        <v>-55.2</v>
      </c>
      <c r="N87" s="1">
        <v>1</v>
      </c>
      <c r="O87" s="1">
        <v>2.4719000000000002</v>
      </c>
      <c r="P87" s="1">
        <v>0.89839999999999998</v>
      </c>
      <c r="Q87" s="1">
        <v>3.1600000000000003E-2</v>
      </c>
      <c r="R87" s="1">
        <v>-0.14960000000000001</v>
      </c>
      <c r="S87" s="1">
        <v>2.4400000000000002E-2</v>
      </c>
      <c r="T87" s="1">
        <v>1.92</v>
      </c>
      <c r="U87" s="1">
        <v>2.7808000000000002</v>
      </c>
      <c r="V87" s="1">
        <v>1.9251</v>
      </c>
      <c r="W87" s="1">
        <v>100.2</v>
      </c>
      <c r="X87" s="1">
        <v>1</v>
      </c>
      <c r="Y87" s="1">
        <v>1.4922</v>
      </c>
      <c r="AA87" s="1">
        <v>0.41360000000000002</v>
      </c>
      <c r="AB87" s="1">
        <v>-0.45619999999999999</v>
      </c>
      <c r="AC87" s="1">
        <v>0.2782</v>
      </c>
      <c r="AD87" s="1">
        <v>4.1120999999999999</v>
      </c>
      <c r="AE87" s="1">
        <v>5.1562000000000001</v>
      </c>
      <c r="AF87" s="1">
        <v>2.2915999999999999</v>
      </c>
    </row>
    <row r="88" spans="1:32" x14ac:dyDescent="0.2">
      <c r="A88" s="1">
        <v>72</v>
      </c>
      <c r="B88" s="1">
        <v>1</v>
      </c>
      <c r="C88" s="1">
        <v>25.1</v>
      </c>
      <c r="D88" s="1">
        <v>1</v>
      </c>
      <c r="E88" s="1">
        <v>2.0247000000000002</v>
      </c>
      <c r="F88" s="1">
        <v>0.77959999999999996</v>
      </c>
      <c r="G88" s="1">
        <v>0.23830000000000001</v>
      </c>
      <c r="H88" s="1">
        <v>-0.16539999999999999</v>
      </c>
      <c r="I88" s="1">
        <v>1.5E-3</v>
      </c>
      <c r="J88" s="1">
        <v>3.4668999999999999</v>
      </c>
      <c r="K88" s="1">
        <v>3.9527000000000001</v>
      </c>
      <c r="L88" s="1">
        <v>2.0602999999999998</v>
      </c>
      <c r="M88" s="1">
        <v>-55.1</v>
      </c>
      <c r="N88" s="1">
        <v>1</v>
      </c>
      <c r="O88" s="1">
        <v>2.4601999999999999</v>
      </c>
      <c r="P88" s="1">
        <v>0.9002</v>
      </c>
      <c r="Q88" s="1">
        <v>3.6700000000000003E-2</v>
      </c>
      <c r="R88" s="1">
        <v>-0.1835</v>
      </c>
      <c r="S88" s="1">
        <v>2.6499999999999999E-2</v>
      </c>
      <c r="T88" s="1">
        <v>1.9928999999999999</v>
      </c>
      <c r="U88" s="1">
        <v>2.8334999999999999</v>
      </c>
      <c r="V88" s="1">
        <v>1.8848</v>
      </c>
      <c r="W88" s="1">
        <v>100.2</v>
      </c>
      <c r="X88" s="1">
        <v>1</v>
      </c>
      <c r="Y88" s="1">
        <v>1.4902</v>
      </c>
      <c r="AA88" s="1">
        <v>0.15</v>
      </c>
      <c r="AB88" s="1">
        <v>-0.29920000000000002</v>
      </c>
      <c r="AC88" s="1">
        <v>0.25890000000000002</v>
      </c>
      <c r="AD88" s="1">
        <v>4.0975000000000001</v>
      </c>
      <c r="AE88" s="1">
        <v>5.1764999999999999</v>
      </c>
      <c r="AF88" s="1">
        <v>2.2448000000000001</v>
      </c>
    </row>
    <row r="89" spans="1:32" x14ac:dyDescent="0.2">
      <c r="A89" s="1">
        <v>73</v>
      </c>
      <c r="B89" s="1">
        <v>1</v>
      </c>
      <c r="C89" s="1">
        <v>25.1</v>
      </c>
      <c r="D89" s="1">
        <v>1</v>
      </c>
      <c r="E89" s="1">
        <v>2.0171000000000001</v>
      </c>
      <c r="F89" s="1">
        <v>0.77439999999999998</v>
      </c>
      <c r="G89" s="1">
        <v>0.17169999999999999</v>
      </c>
      <c r="H89" s="1">
        <v>-0.1103</v>
      </c>
      <c r="I89" s="1">
        <v>1.4E-3</v>
      </c>
      <c r="J89" s="1">
        <v>3.5308999999999999</v>
      </c>
      <c r="K89" s="1">
        <v>3.8993000000000002</v>
      </c>
      <c r="L89" s="1">
        <v>2.2309999999999999</v>
      </c>
      <c r="M89" s="1">
        <v>-55</v>
      </c>
      <c r="N89" s="1">
        <v>1</v>
      </c>
      <c r="O89" s="1">
        <v>2.4676999999999998</v>
      </c>
      <c r="P89" s="1">
        <v>0.89710000000000001</v>
      </c>
      <c r="Q89" s="1">
        <v>0.22559999999999999</v>
      </c>
      <c r="R89" s="1">
        <v>-0.3019</v>
      </c>
      <c r="S89" s="1">
        <v>2.52E-2</v>
      </c>
      <c r="T89" s="1">
        <v>1.9571000000000001</v>
      </c>
      <c r="U89" s="1">
        <v>2.7784</v>
      </c>
      <c r="V89" s="1">
        <v>2.0526</v>
      </c>
      <c r="W89" s="1">
        <v>100.4</v>
      </c>
      <c r="X89" s="1">
        <v>1</v>
      </c>
      <c r="Y89" s="1">
        <v>1.4681</v>
      </c>
      <c r="AA89" s="1">
        <v>0.4229</v>
      </c>
      <c r="AB89" s="1">
        <v>-0.48080000000000001</v>
      </c>
      <c r="AC89" s="1">
        <v>0.2858</v>
      </c>
      <c r="AD89" s="1">
        <v>4.1478999999999999</v>
      </c>
      <c r="AE89" s="1">
        <v>5.1566999999999998</v>
      </c>
      <c r="AF89" s="1">
        <v>2.4283000000000001</v>
      </c>
    </row>
    <row r="90" spans="1:32" x14ac:dyDescent="0.2">
      <c r="A90" s="1">
        <v>74</v>
      </c>
      <c r="B90" s="1">
        <v>1</v>
      </c>
      <c r="C90" s="1">
        <v>25.1</v>
      </c>
      <c r="D90" s="1">
        <v>1</v>
      </c>
      <c r="E90" s="1">
        <v>2.0179999999999998</v>
      </c>
      <c r="F90" s="1">
        <v>0.77410000000000001</v>
      </c>
      <c r="G90" s="1">
        <v>0.20669999999999999</v>
      </c>
      <c r="H90" s="1">
        <v>-0.12959999999999999</v>
      </c>
      <c r="I90" s="1">
        <v>1.4E-3</v>
      </c>
      <c r="J90" s="1">
        <v>3.5177999999999998</v>
      </c>
      <c r="K90" s="1">
        <v>3.9506999999999999</v>
      </c>
      <c r="L90" s="1">
        <v>2.2602000000000002</v>
      </c>
      <c r="M90" s="1">
        <v>-55.1</v>
      </c>
      <c r="N90" s="1">
        <v>1</v>
      </c>
      <c r="O90" s="1">
        <v>2.4704999999999999</v>
      </c>
      <c r="P90" s="1">
        <v>0.8962</v>
      </c>
      <c r="Q90" s="1">
        <v>0.28199999999999997</v>
      </c>
      <c r="R90" s="1">
        <v>-0.2828</v>
      </c>
      <c r="S90" s="1">
        <v>2.5600000000000001E-2</v>
      </c>
      <c r="T90" s="1">
        <v>1.9460999999999999</v>
      </c>
      <c r="U90" s="1">
        <v>2.8071999999999999</v>
      </c>
      <c r="V90" s="1">
        <v>2.0819000000000001</v>
      </c>
      <c r="W90" s="1">
        <v>100</v>
      </c>
      <c r="X90" s="1">
        <v>1</v>
      </c>
      <c r="Y90" s="1">
        <v>1.4790000000000001</v>
      </c>
      <c r="AA90" s="1">
        <v>0.24279999999999999</v>
      </c>
      <c r="AB90" s="1">
        <v>-0.49959999999999999</v>
      </c>
      <c r="AC90" s="1">
        <v>0.26669999999999999</v>
      </c>
      <c r="AD90" s="1">
        <v>4.1622000000000003</v>
      </c>
      <c r="AE90" s="1">
        <v>5.2141999999999999</v>
      </c>
      <c r="AF90" s="1">
        <v>2.4539</v>
      </c>
    </row>
    <row r="91" spans="1:32" x14ac:dyDescent="0.2">
      <c r="A91" s="1">
        <v>75</v>
      </c>
      <c r="B91" s="1">
        <v>1</v>
      </c>
      <c r="C91" s="1">
        <v>25.1</v>
      </c>
      <c r="D91" s="1">
        <v>1</v>
      </c>
      <c r="E91" s="1">
        <v>2.004</v>
      </c>
      <c r="F91" s="1">
        <v>0.77590000000000003</v>
      </c>
      <c r="G91" s="1">
        <v>0.29139999999999999</v>
      </c>
      <c r="H91" s="1">
        <v>-0.1764</v>
      </c>
      <c r="I91" s="1">
        <v>1.6999999999999999E-3</v>
      </c>
      <c r="J91" s="1">
        <v>3.4939</v>
      </c>
      <c r="K91" s="1">
        <v>3.8988999999999998</v>
      </c>
      <c r="L91" s="1">
        <v>2.1053000000000002</v>
      </c>
      <c r="M91" s="1">
        <v>-55</v>
      </c>
      <c r="N91" s="1">
        <v>1</v>
      </c>
      <c r="O91" s="1">
        <v>2.4390999999999998</v>
      </c>
      <c r="P91" s="1">
        <v>0.8952</v>
      </c>
      <c r="Q91" s="1">
        <v>0.2077</v>
      </c>
      <c r="R91" s="1">
        <v>-0.31680000000000003</v>
      </c>
      <c r="S91" s="1">
        <v>2.64E-2</v>
      </c>
      <c r="T91" s="1">
        <v>1.9923</v>
      </c>
      <c r="U91" s="1">
        <v>2.7919</v>
      </c>
      <c r="V91" s="1">
        <v>1.9312</v>
      </c>
      <c r="W91" s="1">
        <v>100</v>
      </c>
      <c r="X91" s="1">
        <v>1</v>
      </c>
      <c r="Y91" s="1">
        <v>1.4946999999999999</v>
      </c>
      <c r="AA91" s="1">
        <v>0.39889999999999998</v>
      </c>
      <c r="AB91" s="1">
        <v>-0.48920000000000002</v>
      </c>
      <c r="AC91" s="1">
        <v>0.21249999999999999</v>
      </c>
      <c r="AD91" s="1">
        <v>4.1176000000000004</v>
      </c>
      <c r="AE91" s="1">
        <v>5.1303000000000001</v>
      </c>
      <c r="AF91" s="1">
        <v>2.2856999999999998</v>
      </c>
    </row>
    <row r="92" spans="1:32" x14ac:dyDescent="0.2">
      <c r="A92" s="1">
        <v>76</v>
      </c>
      <c r="B92" s="1">
        <v>1</v>
      </c>
      <c r="C92" s="1">
        <v>25.1</v>
      </c>
      <c r="D92" s="1">
        <v>1</v>
      </c>
      <c r="E92" s="1">
        <v>2.0171999999999999</v>
      </c>
      <c r="F92" s="1">
        <v>0.77380000000000004</v>
      </c>
      <c r="G92" s="1">
        <v>0.1186</v>
      </c>
      <c r="H92" s="1">
        <v>-0.26290000000000002</v>
      </c>
      <c r="I92" s="1">
        <v>1.5E-3</v>
      </c>
      <c r="J92" s="1">
        <v>3.4866999999999999</v>
      </c>
      <c r="K92" s="1">
        <v>3.8944000000000001</v>
      </c>
      <c r="L92" s="1">
        <v>2.1955</v>
      </c>
      <c r="M92" s="1">
        <v>-55</v>
      </c>
      <c r="N92" s="1">
        <v>1</v>
      </c>
      <c r="O92" s="1">
        <v>2.4458000000000002</v>
      </c>
      <c r="P92" s="1">
        <v>0.89119999999999999</v>
      </c>
      <c r="Q92" s="1">
        <v>0.30099999999999999</v>
      </c>
      <c r="R92" s="1">
        <v>-1.06</v>
      </c>
      <c r="S92" s="1">
        <v>2.5399999999999999E-2</v>
      </c>
      <c r="T92" s="1">
        <v>1.9866999999999999</v>
      </c>
      <c r="U92" s="1">
        <v>2.7797000000000001</v>
      </c>
      <c r="V92" s="1">
        <v>2.0234000000000001</v>
      </c>
      <c r="W92" s="1">
        <v>100.5</v>
      </c>
      <c r="X92" s="1">
        <v>1</v>
      </c>
      <c r="Y92" s="1">
        <v>1.5063</v>
      </c>
      <c r="AA92" s="1">
        <v>0.1978</v>
      </c>
      <c r="AB92" s="1">
        <v>-0.25259999999999999</v>
      </c>
      <c r="AC92" s="1">
        <v>0.2077</v>
      </c>
      <c r="AD92" s="1">
        <v>4.0730000000000004</v>
      </c>
      <c r="AE92" s="1">
        <v>5.1147</v>
      </c>
      <c r="AF92" s="1">
        <v>2.3799000000000001</v>
      </c>
    </row>
    <row r="93" spans="1:32" x14ac:dyDescent="0.2">
      <c r="A93" s="1">
        <v>77</v>
      </c>
      <c r="B93" s="1">
        <v>1</v>
      </c>
      <c r="C93" s="1">
        <v>25.1</v>
      </c>
      <c r="D93" s="1">
        <v>1</v>
      </c>
      <c r="E93" s="1">
        <v>2.0034000000000001</v>
      </c>
      <c r="F93" s="1">
        <v>0.77869999999999995</v>
      </c>
      <c r="G93" s="1">
        <v>0.29720000000000002</v>
      </c>
      <c r="H93" s="1">
        <v>-0.1668</v>
      </c>
      <c r="I93" s="1">
        <v>1.4E-3</v>
      </c>
      <c r="J93" s="1">
        <v>3.4544999999999999</v>
      </c>
      <c r="K93" s="1">
        <v>3.8584000000000001</v>
      </c>
      <c r="L93" s="1">
        <v>1.9171</v>
      </c>
      <c r="M93" s="1">
        <v>-55.1</v>
      </c>
      <c r="N93" s="1">
        <v>1</v>
      </c>
      <c r="O93" s="1">
        <v>2.4489999999999998</v>
      </c>
      <c r="P93" s="1">
        <v>0.90110000000000001</v>
      </c>
      <c r="Q93" s="1">
        <v>4.9299999999999997E-2</v>
      </c>
      <c r="R93" s="1">
        <v>-0.19270000000000001</v>
      </c>
      <c r="S93" s="1">
        <v>2.46E-2</v>
      </c>
      <c r="T93" s="1">
        <v>1.9097999999999999</v>
      </c>
      <c r="U93" s="1">
        <v>2.7307000000000001</v>
      </c>
      <c r="V93" s="1">
        <v>1.7426999999999999</v>
      </c>
      <c r="W93" s="1">
        <v>100.6</v>
      </c>
      <c r="X93" s="1">
        <v>1</v>
      </c>
      <c r="Y93" s="1">
        <v>1.452</v>
      </c>
      <c r="AA93" s="1">
        <v>0.4199</v>
      </c>
      <c r="AB93" s="1">
        <v>-0.46660000000000001</v>
      </c>
      <c r="AC93" s="1">
        <v>0.3049</v>
      </c>
      <c r="AD93" s="1">
        <v>4.0861999999999998</v>
      </c>
      <c r="AE93" s="1">
        <v>5.0965999999999996</v>
      </c>
      <c r="AF93" s="1">
        <v>2.1</v>
      </c>
    </row>
    <row r="94" spans="1:32" x14ac:dyDescent="0.2">
      <c r="A94" s="1">
        <v>78</v>
      </c>
      <c r="B94" s="1">
        <v>1</v>
      </c>
      <c r="C94" s="1">
        <v>25</v>
      </c>
      <c r="D94" s="1">
        <v>1</v>
      </c>
      <c r="E94" s="1">
        <v>1.9827999999999999</v>
      </c>
      <c r="F94" s="1">
        <v>0.77370000000000005</v>
      </c>
      <c r="G94" s="1">
        <v>6.3700000000000007E-2</v>
      </c>
      <c r="H94" s="1">
        <v>-0.1827</v>
      </c>
      <c r="I94" s="1">
        <v>1.6000000000000001E-3</v>
      </c>
      <c r="J94" s="1">
        <v>3.4582000000000002</v>
      </c>
      <c r="K94" s="1">
        <v>3.8595999999999999</v>
      </c>
      <c r="L94" s="1">
        <v>2.1432000000000002</v>
      </c>
      <c r="M94" s="1">
        <v>-55</v>
      </c>
      <c r="N94" s="1">
        <v>1</v>
      </c>
      <c r="O94" s="1">
        <v>2.4018000000000002</v>
      </c>
      <c r="P94" s="1">
        <v>0.89139999999999997</v>
      </c>
      <c r="Q94" s="1">
        <v>0.28849999999999998</v>
      </c>
      <c r="R94" s="1">
        <v>-0.2046</v>
      </c>
      <c r="S94" s="1">
        <v>2.4400000000000002E-2</v>
      </c>
      <c r="T94" s="1">
        <v>2.0099999999999998</v>
      </c>
      <c r="U94" s="1">
        <v>2.7827000000000002</v>
      </c>
      <c r="V94" s="1">
        <v>1.9697</v>
      </c>
      <c r="W94" s="1">
        <v>100.4</v>
      </c>
      <c r="X94" s="1">
        <v>1</v>
      </c>
      <c r="Y94" s="1">
        <v>1.4924999999999999</v>
      </c>
      <c r="AA94" s="1">
        <v>0.39200000000000002</v>
      </c>
      <c r="AB94" s="1">
        <v>-0.51519999999999999</v>
      </c>
      <c r="AC94" s="1">
        <v>0.1925</v>
      </c>
      <c r="AD94" s="1">
        <v>4.0749000000000004</v>
      </c>
      <c r="AE94" s="1">
        <v>5.0339999999999998</v>
      </c>
      <c r="AF94" s="1">
        <v>2.3203999999999998</v>
      </c>
    </row>
    <row r="95" spans="1:32" x14ac:dyDescent="0.2">
      <c r="A95" s="1">
        <v>79</v>
      </c>
      <c r="B95" s="1">
        <v>1</v>
      </c>
      <c r="C95" s="1">
        <v>25</v>
      </c>
      <c r="D95" s="1">
        <v>1</v>
      </c>
      <c r="E95" s="1">
        <v>2.1417000000000002</v>
      </c>
      <c r="F95" s="1">
        <v>0.78520000000000001</v>
      </c>
      <c r="G95" s="1">
        <v>0.3332</v>
      </c>
      <c r="H95" s="1">
        <v>-0.44350000000000001</v>
      </c>
      <c r="I95" s="1">
        <v>1.6000000000000001E-3</v>
      </c>
      <c r="J95" s="1">
        <v>3.3395999999999999</v>
      </c>
      <c r="K95" s="1">
        <v>3.7090999999999998</v>
      </c>
      <c r="L95" s="1">
        <v>1.8048</v>
      </c>
      <c r="M95" s="1">
        <v>-55</v>
      </c>
      <c r="N95" s="1">
        <v>1</v>
      </c>
      <c r="O95" s="1">
        <v>2.3996</v>
      </c>
      <c r="P95" s="1">
        <v>0.90229999999999999</v>
      </c>
      <c r="Q95" s="1">
        <v>0.49640000000000001</v>
      </c>
      <c r="R95" s="1">
        <v>-0.48799999999999999</v>
      </c>
      <c r="S95" s="1">
        <v>2.1100000000000001E-2</v>
      </c>
      <c r="T95" s="1">
        <v>1.2771999999999999</v>
      </c>
      <c r="U95" s="1">
        <v>2.6402999999999999</v>
      </c>
      <c r="V95" s="1">
        <v>1.6403000000000001</v>
      </c>
      <c r="W95" s="1">
        <v>100.6</v>
      </c>
      <c r="X95" s="1">
        <v>1</v>
      </c>
      <c r="Y95" s="1">
        <v>1.605</v>
      </c>
      <c r="AA95" s="1">
        <v>0.65600000000000003</v>
      </c>
      <c r="AB95" s="1">
        <v>-0.77510000000000001</v>
      </c>
      <c r="AC95" s="1">
        <v>0.1961</v>
      </c>
      <c r="AD95" s="1">
        <v>3.3893</v>
      </c>
      <c r="AE95" s="1">
        <v>4.8902999999999999</v>
      </c>
      <c r="AF95" s="1">
        <v>1.9776</v>
      </c>
    </row>
    <row r="96" spans="1:32" x14ac:dyDescent="0.2">
      <c r="A96" s="1">
        <v>80</v>
      </c>
      <c r="B96" s="1">
        <v>1</v>
      </c>
      <c r="C96" s="1">
        <v>25.2</v>
      </c>
      <c r="D96" s="1">
        <v>1</v>
      </c>
      <c r="E96" s="1">
        <v>1.9888999999999999</v>
      </c>
      <c r="F96" s="1">
        <v>0.77639999999999998</v>
      </c>
      <c r="G96" s="1">
        <v>0.18099999999999999</v>
      </c>
      <c r="H96" s="1">
        <v>-0.16500000000000001</v>
      </c>
      <c r="I96" s="1">
        <v>1.1000000000000001E-3</v>
      </c>
      <c r="J96" s="1">
        <v>3.4384000000000001</v>
      </c>
      <c r="K96" s="1">
        <v>3.8677999999999999</v>
      </c>
      <c r="L96" s="1">
        <v>1.9480999999999999</v>
      </c>
      <c r="M96" s="1">
        <v>-54.8</v>
      </c>
      <c r="N96" s="1">
        <v>1</v>
      </c>
      <c r="O96" s="1">
        <v>2.4055</v>
      </c>
      <c r="P96" s="1">
        <v>0.88780000000000003</v>
      </c>
      <c r="Q96" s="1">
        <v>0.2903</v>
      </c>
      <c r="R96" s="1">
        <v>-2.4047000000000001</v>
      </c>
      <c r="S96" s="1">
        <v>2.5100000000000001E-2</v>
      </c>
      <c r="T96" s="1">
        <v>2.0007999999999999</v>
      </c>
      <c r="U96" s="1">
        <v>2.8092999999999999</v>
      </c>
      <c r="V96" s="1">
        <v>1.7874000000000001</v>
      </c>
      <c r="W96" s="1">
        <v>100.3</v>
      </c>
      <c r="X96" s="1">
        <v>1</v>
      </c>
      <c r="Y96" s="1">
        <v>1.5445</v>
      </c>
      <c r="AA96" s="1">
        <v>0.36480000000000001</v>
      </c>
      <c r="AB96" s="1">
        <v>-0.51190000000000002</v>
      </c>
      <c r="AC96" s="1">
        <v>0.1188</v>
      </c>
      <c r="AD96" s="1">
        <v>3.9018999999999999</v>
      </c>
      <c r="AE96" s="1">
        <v>4.9290000000000003</v>
      </c>
      <c r="AF96" s="1">
        <v>2.1029</v>
      </c>
    </row>
    <row r="97" spans="1:32" x14ac:dyDescent="0.2">
      <c r="A97" s="1">
        <v>82</v>
      </c>
      <c r="B97" s="1">
        <v>1</v>
      </c>
      <c r="C97" s="1">
        <v>25.3</v>
      </c>
      <c r="D97" s="1">
        <v>1</v>
      </c>
      <c r="E97" s="1">
        <v>1.9472</v>
      </c>
      <c r="F97" s="1">
        <v>0.77370000000000005</v>
      </c>
      <c r="G97" s="1">
        <v>6.9800000000000001E-2</v>
      </c>
      <c r="H97" s="1">
        <v>-0.17460000000000001</v>
      </c>
      <c r="I97" s="1">
        <v>1.8E-3</v>
      </c>
      <c r="J97" s="1">
        <v>3.4565000000000001</v>
      </c>
      <c r="K97" s="1">
        <v>3.8279999999999998</v>
      </c>
      <c r="L97" s="1">
        <v>2.0973000000000002</v>
      </c>
      <c r="M97" s="1">
        <v>-55.1</v>
      </c>
      <c r="N97" s="1">
        <v>1</v>
      </c>
      <c r="O97" s="1">
        <v>2.3512</v>
      </c>
      <c r="P97" s="1">
        <v>0.89100000000000001</v>
      </c>
      <c r="Q97" s="1">
        <v>0.32140000000000002</v>
      </c>
      <c r="R97" s="1">
        <v>-0.71499999999999997</v>
      </c>
      <c r="S97" s="1">
        <v>2.5700000000000001E-2</v>
      </c>
      <c r="T97" s="1">
        <v>1.9854000000000001</v>
      </c>
      <c r="U97" s="1">
        <v>2.7614999999999998</v>
      </c>
      <c r="V97" s="1">
        <v>1.9258999999999999</v>
      </c>
      <c r="W97" s="1">
        <v>100.6</v>
      </c>
      <c r="X97" s="1">
        <v>1</v>
      </c>
      <c r="Y97" s="1">
        <v>1.46</v>
      </c>
      <c r="AA97" s="1">
        <v>0.16639999999999999</v>
      </c>
      <c r="AB97" s="1">
        <v>-0.42849999999999999</v>
      </c>
      <c r="AC97" s="1">
        <v>0.22040000000000001</v>
      </c>
      <c r="AD97" s="1">
        <v>4.0380000000000003</v>
      </c>
      <c r="AE97" s="1">
        <v>5.0231000000000003</v>
      </c>
      <c r="AF97" s="1">
        <v>2.2757000000000001</v>
      </c>
    </row>
    <row r="98" spans="1:32" x14ac:dyDescent="0.2">
      <c r="A98" s="1">
        <v>83</v>
      </c>
      <c r="B98" s="1">
        <v>1</v>
      </c>
      <c r="C98" s="1">
        <v>25.2</v>
      </c>
      <c r="D98" s="1">
        <v>1</v>
      </c>
      <c r="E98" s="1">
        <v>2.024</v>
      </c>
      <c r="F98" s="1">
        <v>0.77529999999999999</v>
      </c>
      <c r="G98" s="1">
        <v>0.29799999999999999</v>
      </c>
      <c r="H98" s="1">
        <v>-0.22459999999999999</v>
      </c>
      <c r="I98" s="1">
        <v>1.4E-3</v>
      </c>
      <c r="J98" s="1">
        <v>3.4851000000000001</v>
      </c>
      <c r="K98" s="1">
        <v>3.9136000000000002</v>
      </c>
      <c r="L98" s="1">
        <v>2.2016</v>
      </c>
      <c r="M98" s="1">
        <v>-55.2</v>
      </c>
      <c r="N98" s="1">
        <v>1</v>
      </c>
      <c r="O98" s="1">
        <v>2.4567999999999999</v>
      </c>
      <c r="P98" s="1">
        <v>0.89449999999999996</v>
      </c>
      <c r="Q98" s="1">
        <v>0.24629999999999999</v>
      </c>
      <c r="R98" s="1">
        <v>-0.2918</v>
      </c>
      <c r="S98" s="1">
        <v>2.3400000000000001E-2</v>
      </c>
      <c r="T98" s="1">
        <v>1.9616</v>
      </c>
      <c r="U98" s="1">
        <v>2.8092999999999999</v>
      </c>
      <c r="V98" s="1">
        <v>2.0261999999999998</v>
      </c>
      <c r="W98" s="1">
        <v>100.1</v>
      </c>
      <c r="X98" s="1">
        <v>1</v>
      </c>
      <c r="Y98" s="1">
        <v>1.5175000000000001</v>
      </c>
      <c r="AA98" s="1">
        <v>0.14940000000000001</v>
      </c>
      <c r="AB98" s="1">
        <v>-0.34539999999999998</v>
      </c>
      <c r="AC98" s="1">
        <v>0.19389999999999999</v>
      </c>
      <c r="AD98" s="1">
        <v>4.0566000000000004</v>
      </c>
      <c r="AE98" s="1">
        <v>5.1108000000000002</v>
      </c>
      <c r="AF98" s="1">
        <v>2.3839999999999999</v>
      </c>
    </row>
    <row r="99" spans="1:32" x14ac:dyDescent="0.2">
      <c r="A99" s="1">
        <v>84</v>
      </c>
      <c r="B99" s="1">
        <v>1</v>
      </c>
      <c r="C99" s="1">
        <v>25.1</v>
      </c>
      <c r="D99" s="1">
        <v>1</v>
      </c>
      <c r="E99" s="1">
        <v>1.9899</v>
      </c>
      <c r="F99" s="1">
        <v>0.77569999999999995</v>
      </c>
      <c r="G99" s="1">
        <v>0.2767</v>
      </c>
      <c r="H99" s="1">
        <v>-0.13819999999999999</v>
      </c>
      <c r="I99" s="1">
        <v>1.5E-3</v>
      </c>
      <c r="J99" s="1">
        <v>3.4887000000000001</v>
      </c>
      <c r="K99" s="1">
        <v>3.9167000000000001</v>
      </c>
      <c r="L99" s="1">
        <v>2.1324999999999998</v>
      </c>
      <c r="M99" s="1">
        <v>-56.3</v>
      </c>
      <c r="N99" s="1">
        <v>1</v>
      </c>
      <c r="O99" s="1">
        <v>2.4093</v>
      </c>
      <c r="P99" s="1">
        <v>0.89339999999999997</v>
      </c>
      <c r="Q99" s="1">
        <v>16.622599999999998</v>
      </c>
      <c r="R99" s="1">
        <v>-90.863699999999994</v>
      </c>
      <c r="S99" s="1">
        <v>2.5000000000000001E-2</v>
      </c>
      <c r="T99" s="1">
        <v>2.0198</v>
      </c>
      <c r="U99" s="1">
        <v>2.8210999999999999</v>
      </c>
      <c r="V99" s="1">
        <v>1.9626999999999999</v>
      </c>
      <c r="W99" s="1">
        <v>100.6</v>
      </c>
      <c r="X99" s="1">
        <v>1</v>
      </c>
      <c r="Y99" s="1">
        <v>1.4957</v>
      </c>
      <c r="AA99" s="1">
        <v>0.21870000000000001</v>
      </c>
      <c r="AB99" s="1">
        <v>-0.27350000000000002</v>
      </c>
      <c r="AC99" s="1">
        <v>0.19089999999999999</v>
      </c>
      <c r="AD99" s="1">
        <v>4.1018999999999997</v>
      </c>
      <c r="AE99" s="1">
        <v>5.1043000000000003</v>
      </c>
      <c r="AF99" s="1">
        <v>2.3105000000000002</v>
      </c>
    </row>
    <row r="100" spans="1:32" x14ac:dyDescent="0.2">
      <c r="A100" s="1">
        <v>85</v>
      </c>
      <c r="B100" s="1">
        <v>1</v>
      </c>
      <c r="C100" s="1">
        <v>25.1</v>
      </c>
      <c r="D100" s="1">
        <v>1</v>
      </c>
      <c r="E100" s="1">
        <v>2.0531999999999999</v>
      </c>
      <c r="F100" s="1">
        <v>0.77890000000000004</v>
      </c>
      <c r="G100" s="1">
        <v>0.20080000000000001</v>
      </c>
      <c r="H100" s="1">
        <v>-0.12939999999999999</v>
      </c>
      <c r="I100" s="1">
        <v>1.2999999999999999E-3</v>
      </c>
      <c r="J100" s="1">
        <v>3.4750000000000001</v>
      </c>
      <c r="K100" s="1">
        <v>3.9327000000000001</v>
      </c>
      <c r="L100" s="1">
        <v>2.0198</v>
      </c>
      <c r="M100" s="1">
        <v>-54.7</v>
      </c>
      <c r="N100" s="1">
        <v>1</v>
      </c>
      <c r="O100" s="1">
        <v>2.4868000000000001</v>
      </c>
      <c r="P100" s="1">
        <v>0.89510000000000001</v>
      </c>
      <c r="Q100" s="1">
        <v>0.36770000000000003</v>
      </c>
      <c r="R100" s="1">
        <v>-2.9878</v>
      </c>
      <c r="S100" s="1">
        <v>2.4E-2</v>
      </c>
      <c r="T100" s="1">
        <v>1.9837</v>
      </c>
      <c r="U100" s="1">
        <v>2.835</v>
      </c>
      <c r="V100" s="1">
        <v>1.8494999999999999</v>
      </c>
      <c r="W100" s="1">
        <v>100.3</v>
      </c>
      <c r="X100" s="1">
        <v>1</v>
      </c>
      <c r="Y100" s="1">
        <v>1.5342</v>
      </c>
      <c r="AA100" s="1">
        <v>0.39500000000000002</v>
      </c>
      <c r="AB100" s="1">
        <v>-0.46949999999999997</v>
      </c>
      <c r="AC100" s="1">
        <v>0.20480000000000001</v>
      </c>
      <c r="AD100" s="1">
        <v>4.0613999999999999</v>
      </c>
      <c r="AE100" s="1">
        <v>5.1295999999999999</v>
      </c>
      <c r="AF100" s="1">
        <v>2.1962000000000002</v>
      </c>
    </row>
    <row r="101" spans="1:32" x14ac:dyDescent="0.2">
      <c r="A101" s="1">
        <v>86</v>
      </c>
      <c r="B101" s="1">
        <v>1</v>
      </c>
      <c r="C101" s="1">
        <v>25.2</v>
      </c>
      <c r="D101" s="1">
        <v>1</v>
      </c>
      <c r="E101" s="1">
        <v>1.9222999999999999</v>
      </c>
      <c r="F101" s="1">
        <v>0.77290000000000003</v>
      </c>
      <c r="G101" s="1">
        <v>0.17660000000000001</v>
      </c>
      <c r="H101" s="1">
        <v>-0.37259999999999999</v>
      </c>
      <c r="I101" s="1">
        <v>1.6000000000000001E-3</v>
      </c>
      <c r="J101" s="1">
        <v>3.4609999999999999</v>
      </c>
      <c r="K101" s="1">
        <v>3.8875999999999999</v>
      </c>
      <c r="L101" s="1">
        <v>2.2778</v>
      </c>
      <c r="M101" s="1">
        <v>-56.4</v>
      </c>
      <c r="N101" s="1">
        <v>1</v>
      </c>
      <c r="O101" s="1">
        <v>2.3443000000000001</v>
      </c>
      <c r="P101" s="1">
        <v>0.89180000000000004</v>
      </c>
      <c r="Q101" s="1">
        <v>2.234</v>
      </c>
      <c r="R101" s="1">
        <v>-13.003</v>
      </c>
      <c r="S101" s="1">
        <v>2.4299999999999999E-2</v>
      </c>
      <c r="T101" s="1">
        <v>2.0344000000000002</v>
      </c>
      <c r="U101" s="1">
        <v>2.7919</v>
      </c>
      <c r="V101" s="1">
        <v>2.1053000000000002</v>
      </c>
      <c r="W101" s="1">
        <v>100.6</v>
      </c>
      <c r="X101" s="1">
        <v>1</v>
      </c>
      <c r="Y101" s="1">
        <v>1.4281999999999999</v>
      </c>
      <c r="AA101" s="1">
        <v>0.22170000000000001</v>
      </c>
      <c r="AB101" s="1">
        <v>-0.496</v>
      </c>
      <c r="AC101" s="1">
        <v>0.20930000000000001</v>
      </c>
      <c r="AD101" s="1">
        <v>4.1345999999999998</v>
      </c>
      <c r="AE101" s="1">
        <v>5.0940000000000003</v>
      </c>
      <c r="AF101" s="1">
        <v>2.46</v>
      </c>
    </row>
    <row r="102" spans="1:32" x14ac:dyDescent="0.2">
      <c r="A102" s="1">
        <v>87</v>
      </c>
      <c r="B102" s="1">
        <v>1</v>
      </c>
      <c r="C102" s="1">
        <v>25.2</v>
      </c>
      <c r="D102" s="1">
        <v>1</v>
      </c>
      <c r="E102" s="1">
        <v>2.0419</v>
      </c>
      <c r="F102" s="1">
        <v>0.77580000000000005</v>
      </c>
      <c r="G102" s="1">
        <v>0.1105</v>
      </c>
      <c r="H102" s="1">
        <v>-0.32829999999999998</v>
      </c>
      <c r="I102" s="1">
        <v>1.5E-3</v>
      </c>
      <c r="J102" s="1">
        <v>3.4544999999999999</v>
      </c>
      <c r="K102" s="1">
        <v>3.9041000000000001</v>
      </c>
      <c r="L102" s="1">
        <v>2.1280000000000001</v>
      </c>
      <c r="M102" s="1">
        <v>-56.1</v>
      </c>
      <c r="N102" s="1">
        <v>1</v>
      </c>
      <c r="O102" s="1">
        <v>2.4832000000000001</v>
      </c>
      <c r="P102" s="1">
        <v>0.89280000000000004</v>
      </c>
      <c r="Q102" s="1">
        <v>0.28570000000000001</v>
      </c>
      <c r="R102" s="1">
        <v>-0.29299999999999998</v>
      </c>
      <c r="S102" s="1">
        <v>2.35E-2</v>
      </c>
      <c r="T102" s="1">
        <v>1.9527000000000001</v>
      </c>
      <c r="U102" s="1">
        <v>2.8214000000000001</v>
      </c>
      <c r="V102" s="1">
        <v>1.9589000000000001</v>
      </c>
      <c r="W102" s="1">
        <v>100.1</v>
      </c>
      <c r="X102" s="1">
        <v>1</v>
      </c>
      <c r="Y102" s="1">
        <v>1.5370999999999999</v>
      </c>
      <c r="AA102" s="1">
        <v>0.38269999999999998</v>
      </c>
      <c r="AB102" s="1">
        <v>-0.49969999999999998</v>
      </c>
      <c r="AC102" s="1">
        <v>0.17699999999999999</v>
      </c>
      <c r="AD102" s="1">
        <v>4.0129000000000001</v>
      </c>
      <c r="AE102" s="1">
        <v>5.0849000000000002</v>
      </c>
      <c r="AF102" s="1">
        <v>2.3065000000000002</v>
      </c>
    </row>
    <row r="103" spans="1:32" x14ac:dyDescent="0.2">
      <c r="A103" s="1">
        <v>88</v>
      </c>
      <c r="B103" s="1">
        <v>1</v>
      </c>
      <c r="C103" s="1">
        <v>25</v>
      </c>
      <c r="D103" s="1">
        <v>1</v>
      </c>
      <c r="E103" s="1">
        <v>2.0188999999999999</v>
      </c>
      <c r="F103" s="1">
        <v>0.78559999999999997</v>
      </c>
      <c r="G103" s="1">
        <v>0.31580000000000003</v>
      </c>
      <c r="H103" s="1">
        <v>-0.16320000000000001</v>
      </c>
      <c r="I103" s="1">
        <v>1.4E-3</v>
      </c>
      <c r="J103" s="1">
        <v>3.4521000000000002</v>
      </c>
      <c r="K103" s="1">
        <v>4.3331999999999997</v>
      </c>
      <c r="L103" s="1">
        <v>1.7927</v>
      </c>
      <c r="M103" s="1">
        <v>-55.1</v>
      </c>
      <c r="N103" s="1">
        <v>1</v>
      </c>
      <c r="O103" s="1">
        <v>2.4302000000000001</v>
      </c>
      <c r="P103" s="1">
        <v>0.89949999999999997</v>
      </c>
      <c r="Q103" s="1">
        <v>0.223</v>
      </c>
      <c r="R103" s="1">
        <v>-0.3155</v>
      </c>
      <c r="S103" s="1">
        <v>2.52E-2</v>
      </c>
      <c r="T103" s="1">
        <v>1.9964999999999999</v>
      </c>
      <c r="U103" s="1">
        <v>3.2898000000000001</v>
      </c>
      <c r="V103" s="1">
        <v>1.6322000000000001</v>
      </c>
      <c r="W103" s="1">
        <v>100.7</v>
      </c>
      <c r="X103" s="1">
        <v>1</v>
      </c>
      <c r="Y103" s="1">
        <v>1.5516000000000001</v>
      </c>
      <c r="AA103" s="1">
        <v>0.41909999999999997</v>
      </c>
      <c r="AB103" s="1">
        <v>-0.52800000000000002</v>
      </c>
      <c r="AC103" s="1">
        <v>0.1449</v>
      </c>
      <c r="AD103" s="1">
        <v>3.9908999999999999</v>
      </c>
      <c r="AE103" s="1">
        <v>5.3968999999999996</v>
      </c>
      <c r="AF103" s="1">
        <v>1.9524999999999999</v>
      </c>
    </row>
    <row r="104" spans="1:32" x14ac:dyDescent="0.2">
      <c r="A104" s="1">
        <v>89</v>
      </c>
      <c r="B104" s="1">
        <v>1</v>
      </c>
      <c r="C104" s="1">
        <v>25</v>
      </c>
      <c r="D104" s="1">
        <v>1</v>
      </c>
      <c r="E104" s="1">
        <v>1.9694</v>
      </c>
      <c r="F104" s="1">
        <v>0.7772</v>
      </c>
      <c r="G104" s="1">
        <v>0.10390000000000001</v>
      </c>
      <c r="H104" s="1">
        <v>-0.3004</v>
      </c>
      <c r="I104" s="1">
        <v>1.4E-3</v>
      </c>
      <c r="J104" s="1">
        <v>3.5261</v>
      </c>
      <c r="K104" s="1">
        <v>3.9542000000000002</v>
      </c>
      <c r="L104" s="1">
        <v>2.1164999999999998</v>
      </c>
      <c r="M104" s="1">
        <v>-55</v>
      </c>
      <c r="N104" s="1">
        <v>1</v>
      </c>
      <c r="O104" s="1">
        <v>2.3805999999999998</v>
      </c>
      <c r="P104" s="1">
        <v>0.89510000000000001</v>
      </c>
      <c r="Q104" s="1">
        <v>0.28360000000000002</v>
      </c>
      <c r="R104" s="1">
        <v>-0.23230000000000001</v>
      </c>
      <c r="S104" s="1">
        <v>2.3699999999999999E-2</v>
      </c>
      <c r="T104" s="1">
        <v>1.9914000000000001</v>
      </c>
      <c r="U104" s="1">
        <v>2.8519000000000001</v>
      </c>
      <c r="V104" s="1">
        <v>1.9459</v>
      </c>
      <c r="W104" s="1">
        <v>100.2</v>
      </c>
      <c r="X104" s="1">
        <v>1</v>
      </c>
      <c r="Y104" s="1">
        <v>1.4854000000000001</v>
      </c>
      <c r="AA104" s="1">
        <v>0.14449999999999999</v>
      </c>
      <c r="AB104" s="1">
        <v>-0.29189999999999999</v>
      </c>
      <c r="AC104" s="1">
        <v>0.18990000000000001</v>
      </c>
      <c r="AD104" s="1">
        <v>4.0766999999999998</v>
      </c>
      <c r="AE104" s="1">
        <v>5.1582999999999997</v>
      </c>
      <c r="AF104" s="1">
        <v>2.2947000000000002</v>
      </c>
    </row>
    <row r="105" spans="1:32" x14ac:dyDescent="0.2">
      <c r="A105" s="1">
        <v>90</v>
      </c>
      <c r="B105" s="1">
        <v>1</v>
      </c>
      <c r="C105" s="1">
        <v>25</v>
      </c>
      <c r="D105" s="1">
        <v>1</v>
      </c>
      <c r="E105" s="1">
        <v>2.2126999999999999</v>
      </c>
      <c r="F105" s="1">
        <v>0.78349999999999997</v>
      </c>
      <c r="G105" s="1">
        <v>0.40749999999999997</v>
      </c>
      <c r="H105" s="1">
        <v>-0.38640000000000002</v>
      </c>
      <c r="I105" s="1">
        <v>1.5E-3</v>
      </c>
      <c r="J105" s="1">
        <v>3.214</v>
      </c>
      <c r="K105" s="1">
        <v>3.6844000000000001</v>
      </c>
      <c r="L105" s="1">
        <v>1.9424999999999999</v>
      </c>
      <c r="M105" s="1">
        <v>-55.2</v>
      </c>
      <c r="N105" s="1">
        <v>1</v>
      </c>
      <c r="O105" s="1">
        <v>2.3997999999999999</v>
      </c>
      <c r="P105" s="1">
        <v>0.89990000000000003</v>
      </c>
      <c r="Q105" s="1">
        <v>0.41310000000000002</v>
      </c>
      <c r="R105" s="1">
        <v>-0.34849999999999998</v>
      </c>
      <c r="S105" s="1">
        <v>1.9400000000000001E-2</v>
      </c>
      <c r="T105" s="1">
        <v>1.1599999999999999</v>
      </c>
      <c r="U105" s="1">
        <v>2.6038000000000001</v>
      </c>
      <c r="V105" s="1">
        <v>1.7777000000000001</v>
      </c>
      <c r="W105" s="1">
        <v>100.4</v>
      </c>
      <c r="X105" s="1">
        <v>1</v>
      </c>
      <c r="Y105" s="1">
        <v>1.6536999999999999</v>
      </c>
      <c r="AA105" s="1">
        <v>0.54549999999999998</v>
      </c>
      <c r="AB105" s="1">
        <v>-0.59060000000000001</v>
      </c>
      <c r="AC105" s="1">
        <v>0.1628</v>
      </c>
      <c r="AD105" s="1">
        <v>3.3894000000000002</v>
      </c>
      <c r="AE105" s="1">
        <v>4.8906999999999998</v>
      </c>
      <c r="AF105" s="1">
        <v>2.1131000000000002</v>
      </c>
    </row>
    <row r="106" spans="1:32" x14ac:dyDescent="0.2">
      <c r="A106" s="1">
        <v>91</v>
      </c>
      <c r="B106" s="1">
        <v>1</v>
      </c>
      <c r="C106" s="1">
        <v>25</v>
      </c>
      <c r="D106" s="1">
        <v>1</v>
      </c>
      <c r="E106" s="1">
        <v>1.9201999999999999</v>
      </c>
      <c r="F106" s="1">
        <v>0.77310000000000001</v>
      </c>
      <c r="G106" s="1">
        <v>0.31740000000000002</v>
      </c>
      <c r="H106" s="1">
        <v>-0.35099999999999998</v>
      </c>
      <c r="I106" s="1">
        <v>1.2999999999999999E-3</v>
      </c>
      <c r="J106" s="1">
        <v>3.4853999999999998</v>
      </c>
      <c r="K106" s="1">
        <v>3.8365</v>
      </c>
      <c r="L106" s="1">
        <v>2.2732000000000001</v>
      </c>
      <c r="M106" s="1">
        <v>-55.2</v>
      </c>
      <c r="N106" s="1">
        <v>1</v>
      </c>
      <c r="O106" s="1">
        <v>2.3672</v>
      </c>
      <c r="P106" s="1">
        <v>0.89749999999999996</v>
      </c>
      <c r="Q106" s="1">
        <v>0.22339999999999999</v>
      </c>
      <c r="R106" s="1">
        <v>-0.14910000000000001</v>
      </c>
      <c r="S106" s="1">
        <v>2.46E-2</v>
      </c>
      <c r="T106" s="1">
        <v>1.9349000000000001</v>
      </c>
      <c r="U106" s="1">
        <v>2.7103000000000002</v>
      </c>
      <c r="V106" s="1">
        <v>2.093</v>
      </c>
      <c r="W106" s="1">
        <v>100.2</v>
      </c>
      <c r="X106" s="1">
        <v>1</v>
      </c>
      <c r="Y106" s="1">
        <v>1.3714</v>
      </c>
      <c r="AA106" s="1">
        <v>0.42549999999999999</v>
      </c>
      <c r="AB106" s="1">
        <v>-0.45760000000000001</v>
      </c>
      <c r="AC106" s="1">
        <v>0.36570000000000003</v>
      </c>
      <c r="AD106" s="1">
        <v>4.1948999999999996</v>
      </c>
      <c r="AE106" s="1">
        <v>5.1558000000000002</v>
      </c>
      <c r="AF106" s="1">
        <v>2.4716999999999998</v>
      </c>
    </row>
    <row r="107" spans="1:32" x14ac:dyDescent="0.2">
      <c r="A107" s="1">
        <v>92</v>
      </c>
      <c r="B107" s="1">
        <v>1</v>
      </c>
      <c r="C107" s="1">
        <v>24.9</v>
      </c>
      <c r="D107" s="1">
        <v>1</v>
      </c>
      <c r="E107" s="1">
        <v>2</v>
      </c>
      <c r="F107" s="1">
        <v>0.77649999999999997</v>
      </c>
      <c r="G107" s="1">
        <v>0.1656</v>
      </c>
      <c r="H107" s="1">
        <v>-0.29339999999999999</v>
      </c>
      <c r="I107" s="1">
        <v>1.6999999999999999E-3</v>
      </c>
      <c r="J107" s="1">
        <v>3.4620000000000002</v>
      </c>
      <c r="K107" s="1">
        <v>3.9453</v>
      </c>
      <c r="L107" s="1">
        <v>2.0749</v>
      </c>
      <c r="M107" s="1">
        <v>-54.8</v>
      </c>
      <c r="N107" s="1">
        <v>1</v>
      </c>
      <c r="O107" s="1">
        <v>2.4155000000000002</v>
      </c>
      <c r="P107" s="1">
        <v>0.89580000000000004</v>
      </c>
      <c r="Q107" s="1">
        <v>2.5700000000000001E-2</v>
      </c>
      <c r="R107" s="1">
        <v>-6.6699999999999995E-2</v>
      </c>
      <c r="S107" s="1">
        <v>2.3800000000000002E-2</v>
      </c>
      <c r="T107" s="1">
        <v>2.0022000000000002</v>
      </c>
      <c r="U107" s="1">
        <v>2.843</v>
      </c>
      <c r="V107" s="1">
        <v>1.9015</v>
      </c>
      <c r="W107" s="1">
        <v>100.3</v>
      </c>
      <c r="X107" s="1">
        <v>1</v>
      </c>
      <c r="Y107" s="1">
        <v>1.5056</v>
      </c>
      <c r="AA107" s="1">
        <v>0.19350000000000001</v>
      </c>
      <c r="AB107" s="1">
        <v>-0.34360000000000002</v>
      </c>
      <c r="AC107" s="1">
        <v>0.2034</v>
      </c>
      <c r="AD107" s="1">
        <v>4.1257000000000001</v>
      </c>
      <c r="AE107" s="1">
        <v>5.1577999999999999</v>
      </c>
      <c r="AF107" s="1">
        <v>2.2534999999999998</v>
      </c>
    </row>
    <row r="108" spans="1:32" x14ac:dyDescent="0.2">
      <c r="A108" s="1">
        <v>93</v>
      </c>
      <c r="B108" s="1">
        <v>1</v>
      </c>
      <c r="C108" s="1">
        <v>25</v>
      </c>
      <c r="D108" s="1">
        <v>1</v>
      </c>
      <c r="E108" s="1">
        <v>2.2031000000000001</v>
      </c>
      <c r="F108" s="1">
        <v>0.78500000000000003</v>
      </c>
      <c r="G108" s="1">
        <v>0.41099999999999998</v>
      </c>
      <c r="H108" s="1">
        <v>-0.63549999999999995</v>
      </c>
      <c r="I108" s="1">
        <v>1.1000000000000001E-3</v>
      </c>
      <c r="J108" s="1">
        <v>3.2079</v>
      </c>
      <c r="K108" s="1">
        <v>3.6760999999999999</v>
      </c>
      <c r="L108" s="1">
        <v>1.7352000000000001</v>
      </c>
      <c r="M108" s="1">
        <v>-55</v>
      </c>
      <c r="N108" s="1">
        <v>1</v>
      </c>
      <c r="O108" s="1">
        <v>2.3990999999999998</v>
      </c>
      <c r="P108" s="1">
        <v>0.90149999999999997</v>
      </c>
      <c r="Q108" s="1">
        <v>0.32829999999999998</v>
      </c>
      <c r="R108" s="1">
        <v>-0.53520000000000001</v>
      </c>
      <c r="S108" s="1">
        <v>2.01E-2</v>
      </c>
      <c r="T108" s="1">
        <v>1.1913</v>
      </c>
      <c r="U108" s="1">
        <v>2.6042999999999998</v>
      </c>
      <c r="V108" s="1">
        <v>1.5759000000000001</v>
      </c>
      <c r="W108" s="1">
        <v>100.6</v>
      </c>
      <c r="X108" s="1">
        <v>1</v>
      </c>
      <c r="Y108" s="1">
        <v>1.6497999999999999</v>
      </c>
      <c r="AA108" s="1">
        <v>0.55449999999999999</v>
      </c>
      <c r="AB108" s="1">
        <v>-0.54590000000000005</v>
      </c>
      <c r="AC108" s="1">
        <v>0.21840000000000001</v>
      </c>
      <c r="AD108" s="1">
        <v>3.2006000000000001</v>
      </c>
      <c r="AE108" s="1">
        <v>4.9142000000000001</v>
      </c>
      <c r="AF108" s="1">
        <v>1.9020999999999999</v>
      </c>
    </row>
    <row r="109" spans="1:32" x14ac:dyDescent="0.2">
      <c r="A109" s="1">
        <v>94</v>
      </c>
      <c r="B109" s="1">
        <v>1</v>
      </c>
      <c r="C109" s="1">
        <v>25.1</v>
      </c>
      <c r="D109" s="1">
        <v>1</v>
      </c>
      <c r="E109" s="1">
        <v>1.9327000000000001</v>
      </c>
      <c r="F109" s="1">
        <v>0.77370000000000005</v>
      </c>
      <c r="G109" s="1">
        <v>5.8299999999999998E-2</v>
      </c>
      <c r="H109" s="1">
        <v>-0.1169</v>
      </c>
      <c r="I109" s="1">
        <v>1.6000000000000001E-3</v>
      </c>
      <c r="J109" s="1">
        <v>3.4796</v>
      </c>
      <c r="K109" s="1">
        <v>3.8479999999999999</v>
      </c>
      <c r="L109" s="1">
        <v>2.1415999999999999</v>
      </c>
      <c r="M109" s="1">
        <v>-55</v>
      </c>
      <c r="N109" s="1">
        <v>1</v>
      </c>
      <c r="O109" s="1">
        <v>2.3649</v>
      </c>
      <c r="P109" s="1">
        <v>0.89439999999999997</v>
      </c>
      <c r="Q109" s="1">
        <v>0.126</v>
      </c>
      <c r="R109" s="1">
        <v>-8.48E-2</v>
      </c>
      <c r="S109" s="1">
        <v>2.5600000000000001E-2</v>
      </c>
      <c r="T109" s="1">
        <v>1.9568000000000001</v>
      </c>
      <c r="U109" s="1">
        <v>2.7315999999999998</v>
      </c>
      <c r="V109" s="1">
        <v>1.9671000000000001</v>
      </c>
      <c r="W109" s="1">
        <v>100.2</v>
      </c>
      <c r="X109" s="1">
        <v>1</v>
      </c>
      <c r="Y109" s="1">
        <v>1.4262999999999999</v>
      </c>
      <c r="AA109" s="1">
        <v>0.16470000000000001</v>
      </c>
      <c r="AB109" s="1">
        <v>-0.26700000000000002</v>
      </c>
      <c r="AC109" s="1">
        <v>0.2477</v>
      </c>
      <c r="AD109" s="1">
        <v>4.0716000000000001</v>
      </c>
      <c r="AE109" s="1">
        <v>5.0728</v>
      </c>
      <c r="AF109" s="1">
        <v>2.327</v>
      </c>
    </row>
    <row r="110" spans="1:32" x14ac:dyDescent="0.2">
      <c r="A110" s="1">
        <v>95</v>
      </c>
      <c r="B110" s="1">
        <v>1</v>
      </c>
      <c r="C110" s="1">
        <v>25.1</v>
      </c>
      <c r="D110" s="1">
        <v>1</v>
      </c>
      <c r="E110" s="1">
        <v>2.0282</v>
      </c>
      <c r="F110" s="1">
        <v>0.77500000000000002</v>
      </c>
      <c r="G110" s="1">
        <v>0.33360000000000001</v>
      </c>
      <c r="H110" s="1">
        <v>-0.32369999999999999</v>
      </c>
      <c r="I110" s="1">
        <v>1.4E-3</v>
      </c>
      <c r="J110" s="1">
        <v>3.3839000000000001</v>
      </c>
      <c r="K110" s="1">
        <v>3.8915000000000002</v>
      </c>
      <c r="L110" s="1">
        <v>2.1734</v>
      </c>
      <c r="M110" s="1">
        <v>-54.8</v>
      </c>
      <c r="N110" s="1">
        <v>1</v>
      </c>
      <c r="O110" s="1">
        <v>2.4900000000000002</v>
      </c>
      <c r="P110" s="1">
        <v>0.89990000000000003</v>
      </c>
      <c r="Q110" s="1">
        <v>0.26240000000000002</v>
      </c>
      <c r="R110" s="1">
        <v>-0.1595</v>
      </c>
      <c r="S110" s="1">
        <v>2.3800000000000002E-2</v>
      </c>
      <c r="T110" s="1">
        <v>1.9392</v>
      </c>
      <c r="U110" s="1">
        <v>2.7597999999999998</v>
      </c>
      <c r="V110" s="1">
        <v>1.9908999999999999</v>
      </c>
      <c r="W110" s="1">
        <v>100.3</v>
      </c>
      <c r="X110" s="1">
        <v>1</v>
      </c>
      <c r="Y110" s="1">
        <v>1.4602999999999999</v>
      </c>
      <c r="AA110" s="1">
        <v>0.21729999999999999</v>
      </c>
      <c r="AB110" s="1">
        <v>-0.2276</v>
      </c>
      <c r="AC110" s="1">
        <v>0.34660000000000002</v>
      </c>
      <c r="AD110" s="1">
        <v>4.1684999999999999</v>
      </c>
      <c r="AE110" s="1">
        <v>5.1909999999999998</v>
      </c>
      <c r="AF110" s="1">
        <v>2.3715999999999999</v>
      </c>
    </row>
    <row r="111" spans="1:32" x14ac:dyDescent="0.2">
      <c r="A111" s="1">
        <v>96</v>
      </c>
      <c r="B111" s="1">
        <v>1</v>
      </c>
      <c r="C111" s="1">
        <v>25</v>
      </c>
      <c r="D111" s="1">
        <v>1</v>
      </c>
      <c r="E111" s="1">
        <v>1.9807999999999999</v>
      </c>
      <c r="F111" s="1">
        <v>0.77929999999999999</v>
      </c>
      <c r="G111" s="1">
        <v>0.1731</v>
      </c>
      <c r="H111" s="1">
        <v>-0.1198</v>
      </c>
      <c r="I111" s="1">
        <v>1.2999999999999999E-3</v>
      </c>
      <c r="J111" s="1">
        <v>3.4053</v>
      </c>
      <c r="K111" s="1">
        <v>3.8454000000000002</v>
      </c>
      <c r="L111" s="1">
        <v>1.8617999999999999</v>
      </c>
      <c r="M111" s="1">
        <v>-55.1</v>
      </c>
      <c r="N111" s="1">
        <v>1</v>
      </c>
      <c r="O111" s="1">
        <v>2.4043000000000001</v>
      </c>
      <c r="P111" s="1">
        <v>0.90059999999999996</v>
      </c>
      <c r="Q111" s="1">
        <v>0.23810000000000001</v>
      </c>
      <c r="R111" s="1">
        <v>-0.1646</v>
      </c>
      <c r="S111" s="1">
        <v>2.6100000000000002E-2</v>
      </c>
      <c r="T111" s="1">
        <v>1.9145000000000001</v>
      </c>
      <c r="U111" s="1">
        <v>2.7496999999999998</v>
      </c>
      <c r="V111" s="1">
        <v>1.6904999999999999</v>
      </c>
      <c r="W111" s="1">
        <v>100.1</v>
      </c>
      <c r="X111" s="1">
        <v>1</v>
      </c>
      <c r="Y111" s="1">
        <v>1.4625999999999999</v>
      </c>
      <c r="AA111" s="1">
        <v>0.32569999999999999</v>
      </c>
      <c r="AB111" s="1">
        <v>-0.52249999999999996</v>
      </c>
      <c r="AC111" s="1">
        <v>0.28239999999999998</v>
      </c>
      <c r="AD111" s="1">
        <v>4.0410000000000004</v>
      </c>
      <c r="AE111" s="1">
        <v>5.1054000000000004</v>
      </c>
      <c r="AF111" s="1">
        <v>2.0379</v>
      </c>
    </row>
    <row r="112" spans="1:32" x14ac:dyDescent="0.2">
      <c r="A112" s="1">
        <v>97</v>
      </c>
      <c r="B112" s="1">
        <v>1</v>
      </c>
      <c r="C112" s="1">
        <v>25</v>
      </c>
      <c r="D112" s="1">
        <v>1</v>
      </c>
      <c r="E112" s="1">
        <v>1.9540999999999999</v>
      </c>
      <c r="F112" s="1">
        <v>0.7752</v>
      </c>
      <c r="G112" s="1">
        <v>0.25409999999999999</v>
      </c>
      <c r="H112" s="1">
        <v>-0.34310000000000002</v>
      </c>
      <c r="I112" s="1">
        <v>1.5E-3</v>
      </c>
      <c r="J112" s="1">
        <v>3.4013</v>
      </c>
      <c r="K112" s="1">
        <v>3.8464</v>
      </c>
      <c r="L112" s="1">
        <v>2.0512999999999999</v>
      </c>
      <c r="M112" s="1">
        <v>-55</v>
      </c>
      <c r="N112" s="1">
        <v>1</v>
      </c>
      <c r="O112" s="1">
        <v>2.3799000000000001</v>
      </c>
      <c r="P112" s="1">
        <v>0.89259999999999995</v>
      </c>
      <c r="Q112" s="1">
        <v>6.9900000000000004E-2</v>
      </c>
      <c r="R112" s="1">
        <v>-0.39800000000000002</v>
      </c>
      <c r="S112" s="1">
        <v>2.5000000000000001E-2</v>
      </c>
      <c r="T112" s="1">
        <v>1.9822</v>
      </c>
      <c r="U112" s="1">
        <v>2.7517</v>
      </c>
      <c r="V112" s="1">
        <v>1.8803000000000001</v>
      </c>
      <c r="W112" s="1">
        <v>100.6</v>
      </c>
      <c r="X112" s="1">
        <v>1</v>
      </c>
      <c r="Y112" s="1">
        <v>1.4530000000000001</v>
      </c>
      <c r="AA112" s="1">
        <v>0.16059999999999999</v>
      </c>
      <c r="AB112" s="1">
        <v>-0.2954</v>
      </c>
      <c r="AC112" s="1">
        <v>0.2147</v>
      </c>
      <c r="AD112" s="1">
        <v>4.0469999999999997</v>
      </c>
      <c r="AE112" s="1">
        <v>5.0468000000000002</v>
      </c>
      <c r="AF112" s="1">
        <v>2.2280000000000002</v>
      </c>
    </row>
    <row r="113" spans="1:32" x14ac:dyDescent="0.2">
      <c r="A113" s="1">
        <v>99</v>
      </c>
      <c r="B113" s="1">
        <v>1</v>
      </c>
      <c r="C113" s="1">
        <v>25</v>
      </c>
      <c r="D113" s="1">
        <v>1</v>
      </c>
      <c r="E113" s="1">
        <v>2.0203000000000002</v>
      </c>
      <c r="F113" s="1">
        <v>0.7782</v>
      </c>
      <c r="G113" s="1">
        <v>8.0500000000000002E-2</v>
      </c>
      <c r="H113" s="1">
        <v>-0.1234</v>
      </c>
      <c r="I113" s="1">
        <v>1.4E-3</v>
      </c>
      <c r="J113" s="1">
        <v>3.4588000000000001</v>
      </c>
      <c r="K113" s="1">
        <v>3.9241999999999999</v>
      </c>
      <c r="L113" s="1">
        <v>2.0712000000000002</v>
      </c>
      <c r="M113" s="1">
        <v>-55.1</v>
      </c>
      <c r="N113" s="1">
        <v>1</v>
      </c>
      <c r="O113" s="1">
        <v>2.4502999999999999</v>
      </c>
      <c r="P113" s="1">
        <v>0.89690000000000003</v>
      </c>
      <c r="Q113" s="1">
        <v>0.11650000000000001</v>
      </c>
      <c r="R113" s="1">
        <v>-4.3299999999999998E-2</v>
      </c>
      <c r="S113" s="1">
        <v>2.52E-2</v>
      </c>
      <c r="T113" s="1">
        <v>1.9419999999999999</v>
      </c>
      <c r="U113" s="1">
        <v>2.839</v>
      </c>
      <c r="V113" s="1">
        <v>1.8989</v>
      </c>
      <c r="W113" s="1">
        <v>100.5</v>
      </c>
      <c r="X113" s="1">
        <v>1</v>
      </c>
      <c r="Y113" s="1">
        <v>1.5111000000000001</v>
      </c>
      <c r="AA113" s="1">
        <v>0.40100000000000002</v>
      </c>
      <c r="AB113" s="1">
        <v>-0.49390000000000001</v>
      </c>
      <c r="AC113" s="1">
        <v>0.2082</v>
      </c>
      <c r="AD113" s="1">
        <v>4.0377999999999998</v>
      </c>
      <c r="AE113" s="1">
        <v>5.1348000000000003</v>
      </c>
      <c r="AF113" s="1">
        <v>2.2483</v>
      </c>
    </row>
    <row r="114" spans="1:32" x14ac:dyDescent="0.2">
      <c r="A114" s="1">
        <v>100</v>
      </c>
      <c r="B114" s="1">
        <v>1</v>
      </c>
      <c r="C114" s="1">
        <v>25.1</v>
      </c>
      <c r="D114" s="1">
        <v>1</v>
      </c>
      <c r="E114" s="1">
        <v>2.0261</v>
      </c>
      <c r="F114" s="1">
        <v>0.78459999999999996</v>
      </c>
      <c r="G114" s="1">
        <v>0.17730000000000001</v>
      </c>
      <c r="H114" s="1">
        <v>-0.13159999999999999</v>
      </c>
      <c r="I114" s="1">
        <v>1.2999999999999999E-3</v>
      </c>
      <c r="J114" s="1">
        <v>3.4355000000000002</v>
      </c>
      <c r="K114" s="1">
        <v>4.5122</v>
      </c>
      <c r="L114" s="1">
        <v>1.8022</v>
      </c>
      <c r="M114" s="1">
        <v>-55</v>
      </c>
      <c r="N114" s="1">
        <v>1</v>
      </c>
      <c r="O114" s="1">
        <v>2.4333999999999998</v>
      </c>
      <c r="P114" s="1">
        <v>0.89839999999999998</v>
      </c>
      <c r="Q114" s="1">
        <v>0.17649999999999999</v>
      </c>
      <c r="R114" s="1">
        <v>-1.3785000000000001</v>
      </c>
      <c r="S114" s="1">
        <v>2.3800000000000002E-2</v>
      </c>
      <c r="T114" s="1">
        <v>1.9705999999999999</v>
      </c>
      <c r="U114" s="1">
        <v>3.367</v>
      </c>
      <c r="V114" s="1">
        <v>1.6416999999999999</v>
      </c>
      <c r="W114" s="1">
        <v>100.7</v>
      </c>
      <c r="X114" s="1">
        <v>1</v>
      </c>
      <c r="Y114" s="1">
        <v>1.5553999999999999</v>
      </c>
      <c r="AA114" s="1">
        <v>0.16850000000000001</v>
      </c>
      <c r="AB114" s="1">
        <v>-0.29580000000000001</v>
      </c>
      <c r="AC114" s="1">
        <v>0.17510000000000001</v>
      </c>
      <c r="AD114" s="1">
        <v>3.9929000000000001</v>
      </c>
      <c r="AE114" s="1">
        <v>5.6749999999999998</v>
      </c>
      <c r="AF114" s="1">
        <v>1.9661</v>
      </c>
    </row>
    <row r="115" spans="1:32" x14ac:dyDescent="0.2">
      <c r="A115" s="1">
        <v>101</v>
      </c>
      <c r="B115" s="1">
        <v>1</v>
      </c>
      <c r="C115" s="1">
        <v>25.2</v>
      </c>
      <c r="D115" s="1">
        <v>1</v>
      </c>
      <c r="E115" s="1">
        <v>2.0179999999999998</v>
      </c>
      <c r="F115" s="1">
        <v>0.77529999999999999</v>
      </c>
      <c r="G115" s="1">
        <v>0.20649999999999999</v>
      </c>
      <c r="H115" s="1">
        <v>-0.1326</v>
      </c>
      <c r="I115" s="1">
        <v>1.5E-3</v>
      </c>
      <c r="J115" s="1">
        <v>3.4891000000000001</v>
      </c>
      <c r="K115" s="1">
        <v>3.9272</v>
      </c>
      <c r="L115" s="1">
        <v>2.2721</v>
      </c>
      <c r="M115" s="1">
        <v>-55.7</v>
      </c>
      <c r="N115" s="1">
        <v>1</v>
      </c>
      <c r="O115" s="1">
        <v>2.4365000000000001</v>
      </c>
      <c r="P115" s="1">
        <v>0.89039999999999997</v>
      </c>
      <c r="Q115" s="1">
        <v>12.889099999999999</v>
      </c>
      <c r="R115" s="1">
        <v>-31.183</v>
      </c>
      <c r="S115" s="1">
        <v>2.3699999999999999E-2</v>
      </c>
      <c r="T115" s="1">
        <v>2.0377000000000001</v>
      </c>
      <c r="U115" s="1">
        <v>2.8321999999999998</v>
      </c>
      <c r="V115" s="1">
        <v>2.1021000000000001</v>
      </c>
      <c r="W115" s="1">
        <v>100.5</v>
      </c>
      <c r="X115" s="1">
        <v>1</v>
      </c>
      <c r="Y115" s="1">
        <v>1.5445</v>
      </c>
      <c r="AA115" s="1">
        <v>0.34260000000000002</v>
      </c>
      <c r="AB115" s="1">
        <v>-0.56989999999999996</v>
      </c>
      <c r="AC115" s="1">
        <v>0.1389</v>
      </c>
      <c r="AD115" s="1">
        <v>3.9655999999999998</v>
      </c>
      <c r="AE115" s="1">
        <v>5.12</v>
      </c>
      <c r="AF115" s="1">
        <v>2.4499</v>
      </c>
    </row>
    <row r="116" spans="1:32" x14ac:dyDescent="0.2">
      <c r="A116" s="1">
        <v>102</v>
      </c>
      <c r="B116" s="1">
        <v>1</v>
      </c>
      <c r="C116" s="1">
        <v>25.2</v>
      </c>
      <c r="D116" s="1">
        <v>1</v>
      </c>
      <c r="E116" s="1">
        <v>1.9971000000000001</v>
      </c>
      <c r="F116" s="1">
        <v>0.77470000000000006</v>
      </c>
      <c r="G116" s="1">
        <v>0.27139999999999997</v>
      </c>
      <c r="H116" s="1">
        <v>-0.36709999999999998</v>
      </c>
      <c r="I116" s="1">
        <v>1.2999999999999999E-3</v>
      </c>
      <c r="J116" s="1">
        <v>3.4049</v>
      </c>
      <c r="K116" s="1">
        <v>3.8875999999999999</v>
      </c>
      <c r="L116" s="1">
        <v>2.0712000000000002</v>
      </c>
      <c r="M116" s="1">
        <v>-55.9</v>
      </c>
      <c r="N116" s="1">
        <v>1</v>
      </c>
      <c r="O116" s="1">
        <v>2.4230999999999998</v>
      </c>
      <c r="P116" s="1">
        <v>0.89259999999999995</v>
      </c>
      <c r="Q116" s="1">
        <v>1.8552999999999999</v>
      </c>
      <c r="R116" s="1">
        <v>-11.3622</v>
      </c>
      <c r="S116" s="1">
        <v>2.52E-2</v>
      </c>
      <c r="T116" s="1">
        <v>1.9753000000000001</v>
      </c>
      <c r="U116" s="1">
        <v>2.8045</v>
      </c>
      <c r="V116" s="1">
        <v>1.9015</v>
      </c>
      <c r="W116" s="1">
        <v>100.4</v>
      </c>
      <c r="X116" s="1">
        <v>1</v>
      </c>
      <c r="Y116" s="1">
        <v>1.5046999999999999</v>
      </c>
      <c r="AA116" s="1">
        <v>0.39150000000000001</v>
      </c>
      <c r="AB116" s="1">
        <v>-0.49569999999999997</v>
      </c>
      <c r="AC116" s="1">
        <v>0.1915</v>
      </c>
      <c r="AD116" s="1">
        <v>4.0833000000000004</v>
      </c>
      <c r="AE116" s="1">
        <v>5.0655000000000001</v>
      </c>
      <c r="AF116" s="1">
        <v>2.2469000000000001</v>
      </c>
    </row>
    <row r="117" spans="1:32" x14ac:dyDescent="0.2">
      <c r="A117" s="1">
        <v>103</v>
      </c>
      <c r="B117" s="1">
        <v>1</v>
      </c>
      <c r="C117" s="1">
        <v>25</v>
      </c>
      <c r="D117" s="1">
        <v>1</v>
      </c>
      <c r="E117" s="1">
        <v>1.9492</v>
      </c>
      <c r="F117" s="1">
        <v>0.77659999999999996</v>
      </c>
      <c r="G117" s="1">
        <v>0.22650000000000001</v>
      </c>
      <c r="H117" s="1">
        <v>-0.34949999999999998</v>
      </c>
      <c r="I117" s="1">
        <v>1.4E-3</v>
      </c>
      <c r="J117" s="1">
        <v>3.5177999999999998</v>
      </c>
      <c r="K117" s="1">
        <v>3.9361999999999999</v>
      </c>
      <c r="L117" s="1">
        <v>2.1507000000000001</v>
      </c>
      <c r="M117" s="1">
        <v>-57.1</v>
      </c>
      <c r="N117" s="1">
        <v>1</v>
      </c>
      <c r="O117" s="1">
        <v>2.3693</v>
      </c>
      <c r="P117" s="1">
        <v>0.89690000000000003</v>
      </c>
      <c r="Q117" s="1">
        <v>0.28010000000000002</v>
      </c>
      <c r="R117" s="1">
        <v>-0.2868</v>
      </c>
      <c r="S117" s="1">
        <v>2.47E-2</v>
      </c>
      <c r="T117" s="1">
        <v>2.0205000000000002</v>
      </c>
      <c r="U117" s="1">
        <v>2.8555000000000001</v>
      </c>
      <c r="V117" s="1">
        <v>1.9796</v>
      </c>
      <c r="W117" s="1">
        <v>100.5</v>
      </c>
      <c r="X117" s="1">
        <v>1</v>
      </c>
      <c r="Y117" s="1">
        <v>1.4594</v>
      </c>
      <c r="AA117" s="1">
        <v>0.41210000000000002</v>
      </c>
      <c r="AB117" s="1">
        <v>-0.53010000000000002</v>
      </c>
      <c r="AC117" s="1">
        <v>0.1948</v>
      </c>
      <c r="AD117" s="1">
        <v>4.1280000000000001</v>
      </c>
      <c r="AE117" s="1">
        <v>5.1258999999999997</v>
      </c>
      <c r="AF117" s="1">
        <v>2.3283999999999998</v>
      </c>
    </row>
    <row r="118" spans="1:32" x14ac:dyDescent="0.2">
      <c r="A118" s="1">
        <v>104</v>
      </c>
      <c r="B118" s="1">
        <v>1</v>
      </c>
      <c r="C118" s="1">
        <v>25</v>
      </c>
      <c r="D118" s="1">
        <v>1</v>
      </c>
      <c r="E118" s="1">
        <v>2.0834000000000001</v>
      </c>
      <c r="F118" s="1">
        <v>0.78010000000000002</v>
      </c>
      <c r="G118" s="1">
        <v>0.35249999999999998</v>
      </c>
      <c r="H118" s="1">
        <v>-0.43930000000000002</v>
      </c>
      <c r="I118" s="1">
        <v>1E-3</v>
      </c>
      <c r="J118" s="1">
        <v>3.3620999999999999</v>
      </c>
      <c r="K118" s="1">
        <v>3.6092</v>
      </c>
      <c r="L118" s="1">
        <v>1.9321999999999999</v>
      </c>
      <c r="M118" s="1">
        <v>-55.3</v>
      </c>
      <c r="N118" s="1">
        <v>1</v>
      </c>
      <c r="O118" s="1">
        <v>2.3988</v>
      </c>
      <c r="P118" s="1">
        <v>0.89939999999999998</v>
      </c>
      <c r="Q118" s="1">
        <v>0.51349999999999996</v>
      </c>
      <c r="R118" s="1">
        <v>-0.50619999999999998</v>
      </c>
      <c r="S118" s="1">
        <v>2.1700000000000001E-2</v>
      </c>
      <c r="T118" s="1">
        <v>1.1718999999999999</v>
      </c>
      <c r="U118" s="1">
        <v>2.5078999999999998</v>
      </c>
      <c r="V118" s="1">
        <v>1.7636000000000001</v>
      </c>
      <c r="W118" s="1">
        <v>100.4</v>
      </c>
      <c r="X118" s="1">
        <v>1</v>
      </c>
      <c r="Y118" s="1">
        <v>1.5303</v>
      </c>
      <c r="AA118" s="1">
        <v>0.54610000000000003</v>
      </c>
      <c r="AB118" s="1">
        <v>-0.54200000000000004</v>
      </c>
      <c r="AC118" s="1">
        <v>0.26040000000000002</v>
      </c>
      <c r="AD118" s="1">
        <v>3.3006000000000002</v>
      </c>
      <c r="AE118" s="1">
        <v>4.8380000000000001</v>
      </c>
      <c r="AF118" s="1">
        <v>2.1118000000000001</v>
      </c>
    </row>
    <row r="119" spans="1:32" x14ac:dyDescent="0.2">
      <c r="A119" s="1">
        <v>105</v>
      </c>
      <c r="B119" s="1">
        <v>1</v>
      </c>
      <c r="C119" s="1">
        <v>25</v>
      </c>
      <c r="D119" s="1">
        <v>1</v>
      </c>
      <c r="E119" s="1">
        <v>2.0103</v>
      </c>
      <c r="F119" s="1">
        <v>0.77769999999999995</v>
      </c>
      <c r="G119" s="1">
        <v>0.47199999999999998</v>
      </c>
      <c r="H119" s="1">
        <v>-0.40789999999999998</v>
      </c>
      <c r="I119" s="1">
        <v>1.2999999999999999E-3</v>
      </c>
      <c r="J119" s="1">
        <v>3.234</v>
      </c>
      <c r="K119" s="1">
        <v>3.5741999999999998</v>
      </c>
      <c r="L119" s="1">
        <v>2.1276000000000002</v>
      </c>
      <c r="M119" s="1">
        <v>-55.2</v>
      </c>
      <c r="N119" s="1">
        <v>1</v>
      </c>
      <c r="O119" s="1">
        <v>2.3993000000000002</v>
      </c>
      <c r="P119" s="1">
        <v>0.89859999999999995</v>
      </c>
      <c r="Q119" s="1">
        <v>0.37280000000000002</v>
      </c>
      <c r="R119" s="1">
        <v>-0.5554</v>
      </c>
      <c r="S119" s="1">
        <v>2.1000000000000001E-2</v>
      </c>
      <c r="T119" s="1">
        <v>1.2490000000000001</v>
      </c>
      <c r="U119" s="1">
        <v>2.4918</v>
      </c>
      <c r="V119" s="1">
        <v>1.9403999999999999</v>
      </c>
      <c r="W119" s="1">
        <v>100.3</v>
      </c>
      <c r="X119" s="1">
        <v>1</v>
      </c>
      <c r="Y119" s="1">
        <v>1.4694</v>
      </c>
      <c r="AA119" s="1">
        <v>0.58260000000000001</v>
      </c>
      <c r="AB119" s="1">
        <v>-0.7762</v>
      </c>
      <c r="AC119" s="1">
        <v>0.25850000000000001</v>
      </c>
      <c r="AD119" s="1">
        <v>3.2713000000000001</v>
      </c>
      <c r="AE119" s="1">
        <v>4.8124000000000002</v>
      </c>
      <c r="AF119" s="1">
        <v>2.3127</v>
      </c>
    </row>
    <row r="120" spans="1:32" x14ac:dyDescent="0.2">
      <c r="A120" s="1">
        <v>106</v>
      </c>
      <c r="B120" s="1">
        <v>1</v>
      </c>
      <c r="C120" s="1">
        <v>25.2</v>
      </c>
      <c r="D120" s="1">
        <v>1</v>
      </c>
      <c r="E120" s="1">
        <v>1.9895</v>
      </c>
      <c r="F120" s="1">
        <v>0.77559999999999996</v>
      </c>
      <c r="G120" s="1">
        <v>0.1988</v>
      </c>
      <c r="H120" s="1">
        <v>-0.33800000000000002</v>
      </c>
      <c r="I120" s="1">
        <v>1.5E-3</v>
      </c>
      <c r="J120" s="1">
        <v>3.4803000000000002</v>
      </c>
      <c r="K120" s="1">
        <v>3.8734000000000002</v>
      </c>
      <c r="L120" s="1">
        <v>2.1362999999999999</v>
      </c>
      <c r="M120" s="1">
        <v>-55.8</v>
      </c>
      <c r="N120" s="1">
        <v>1</v>
      </c>
      <c r="O120" s="1">
        <v>2.4180999999999999</v>
      </c>
      <c r="P120" s="1">
        <v>0.89459999999999995</v>
      </c>
      <c r="Q120" s="1">
        <v>1.3736999999999999</v>
      </c>
      <c r="R120" s="1">
        <v>-7.1786000000000003</v>
      </c>
      <c r="S120" s="1">
        <v>2.5000000000000001E-2</v>
      </c>
      <c r="T120" s="1">
        <v>1.9802999999999999</v>
      </c>
      <c r="U120" s="1">
        <v>2.7875000000000001</v>
      </c>
      <c r="V120" s="1">
        <v>1.9641</v>
      </c>
      <c r="W120" s="1">
        <v>100.4</v>
      </c>
      <c r="X120" s="1">
        <v>1</v>
      </c>
      <c r="Y120" s="1">
        <v>1.488</v>
      </c>
      <c r="AA120" s="1">
        <v>0.18410000000000001</v>
      </c>
      <c r="AB120" s="1">
        <v>-0.37559999999999999</v>
      </c>
      <c r="AC120" s="1">
        <v>0.19370000000000001</v>
      </c>
      <c r="AD120" s="1">
        <v>4.0387000000000004</v>
      </c>
      <c r="AE120" s="1">
        <v>5.0247000000000002</v>
      </c>
      <c r="AF120" s="1">
        <v>2.3159000000000001</v>
      </c>
    </row>
    <row r="121" spans="1:32" x14ac:dyDescent="0.2">
      <c r="A121" s="1">
        <v>107</v>
      </c>
      <c r="B121" s="1">
        <v>1</v>
      </c>
      <c r="C121" s="1">
        <v>25</v>
      </c>
      <c r="D121" s="1">
        <v>1</v>
      </c>
      <c r="E121" s="1">
        <v>2.0922000000000001</v>
      </c>
      <c r="F121" s="1">
        <v>0.78159999999999996</v>
      </c>
      <c r="G121" s="1">
        <v>0.35489999999999999</v>
      </c>
      <c r="H121" s="1">
        <v>-0.44390000000000002</v>
      </c>
      <c r="I121" s="1">
        <v>1.5E-3</v>
      </c>
      <c r="J121" s="1">
        <v>3.2490000000000001</v>
      </c>
      <c r="K121" s="1">
        <v>3.5874999999999999</v>
      </c>
      <c r="L121" s="1">
        <v>1.9716</v>
      </c>
      <c r="M121" s="1">
        <v>-55.1</v>
      </c>
      <c r="N121" s="1">
        <v>1</v>
      </c>
      <c r="O121" s="1">
        <v>2.3997999999999999</v>
      </c>
      <c r="P121" s="1">
        <v>0.89870000000000005</v>
      </c>
      <c r="Q121" s="1">
        <v>0.28179999999999999</v>
      </c>
      <c r="R121" s="1">
        <v>-0.37280000000000002</v>
      </c>
      <c r="S121" s="1">
        <v>2.18E-2</v>
      </c>
      <c r="T121" s="1">
        <v>1.2613000000000001</v>
      </c>
      <c r="U121" s="1">
        <v>2.4883000000000002</v>
      </c>
      <c r="V121" s="1">
        <v>1.8038000000000001</v>
      </c>
      <c r="W121" s="1">
        <v>100.5</v>
      </c>
      <c r="X121" s="1">
        <v>1</v>
      </c>
      <c r="Y121" s="1">
        <v>1.5653999999999999</v>
      </c>
      <c r="AA121" s="1">
        <v>0.42030000000000001</v>
      </c>
      <c r="AB121" s="1">
        <v>-0.622</v>
      </c>
      <c r="AC121" s="1">
        <v>0.18490000000000001</v>
      </c>
      <c r="AD121" s="1">
        <v>3.3491</v>
      </c>
      <c r="AE121" s="1">
        <v>4.7759999999999998</v>
      </c>
      <c r="AF121" s="1">
        <v>2.1433</v>
      </c>
    </row>
    <row r="122" spans="1:32" x14ac:dyDescent="0.2">
      <c r="A122" s="1">
        <v>108</v>
      </c>
      <c r="B122" s="1">
        <v>1</v>
      </c>
      <c r="C122" s="1">
        <v>25</v>
      </c>
      <c r="D122" s="1">
        <v>1</v>
      </c>
      <c r="E122" s="1">
        <v>2.0261</v>
      </c>
      <c r="F122" s="1">
        <v>0.77429999999999999</v>
      </c>
      <c r="G122" s="1">
        <v>7.8299999999999995E-2</v>
      </c>
      <c r="H122" s="1">
        <v>-0.1429</v>
      </c>
      <c r="I122" s="1">
        <v>1.6999999999999999E-3</v>
      </c>
      <c r="J122" s="1">
        <v>3.5171999999999999</v>
      </c>
      <c r="K122" s="1">
        <v>3.9401999999999999</v>
      </c>
      <c r="L122" s="1">
        <v>2.2507999999999999</v>
      </c>
      <c r="M122" s="1">
        <v>-55.1</v>
      </c>
      <c r="N122" s="1">
        <v>1</v>
      </c>
      <c r="O122" s="1">
        <v>2.4853000000000001</v>
      </c>
      <c r="P122" s="1">
        <v>0.89770000000000005</v>
      </c>
      <c r="Q122" s="1">
        <v>8.7099999999999997E-2</v>
      </c>
      <c r="R122" s="1">
        <v>-5.1400000000000001E-2</v>
      </c>
      <c r="S122" s="1">
        <v>2.4400000000000002E-2</v>
      </c>
      <c r="T122" s="1">
        <v>1.9918</v>
      </c>
      <c r="U122" s="1">
        <v>2.7955000000000001</v>
      </c>
      <c r="V122" s="1">
        <v>2.0701999999999998</v>
      </c>
      <c r="W122" s="1">
        <v>100.4</v>
      </c>
      <c r="X122" s="1">
        <v>1</v>
      </c>
      <c r="Y122" s="1">
        <v>1.4732000000000001</v>
      </c>
      <c r="AA122" s="1">
        <v>0.14169999999999999</v>
      </c>
      <c r="AB122" s="1">
        <v>-0.24840000000000001</v>
      </c>
      <c r="AC122" s="1">
        <v>0.2888</v>
      </c>
      <c r="AD122" s="1">
        <v>4.1764000000000001</v>
      </c>
      <c r="AE122" s="1">
        <v>5.2241999999999997</v>
      </c>
      <c r="AF122" s="1">
        <v>2.4468999999999999</v>
      </c>
    </row>
    <row r="123" spans="1:32" x14ac:dyDescent="0.2">
      <c r="A123" s="1">
        <v>109</v>
      </c>
      <c r="B123" s="1">
        <v>1</v>
      </c>
      <c r="C123" s="1">
        <v>25.1</v>
      </c>
      <c r="D123" s="1">
        <v>1</v>
      </c>
      <c r="E123" s="1">
        <v>2.0053000000000001</v>
      </c>
      <c r="F123" s="1">
        <v>0.77969999999999995</v>
      </c>
      <c r="G123" s="1">
        <v>0.19270000000000001</v>
      </c>
      <c r="H123" s="1">
        <v>-0.13289999999999999</v>
      </c>
      <c r="I123" s="1">
        <v>1.2999999999999999E-3</v>
      </c>
      <c r="J123" s="1">
        <v>3.4855</v>
      </c>
      <c r="K123" s="1">
        <v>4.1536999999999997</v>
      </c>
      <c r="L123" s="1">
        <v>1.8943000000000001</v>
      </c>
      <c r="M123" s="1">
        <v>-54.9</v>
      </c>
      <c r="N123" s="1">
        <v>1</v>
      </c>
      <c r="O123" s="1">
        <v>2.4203999999999999</v>
      </c>
      <c r="P123" s="1">
        <v>0.90149999999999997</v>
      </c>
      <c r="Q123" s="1">
        <v>7.2700000000000001E-2</v>
      </c>
      <c r="R123" s="1">
        <v>-4.1500000000000002E-2</v>
      </c>
      <c r="S123" s="1">
        <v>2.4899999999999999E-2</v>
      </c>
      <c r="T123" s="1">
        <v>1.9265000000000001</v>
      </c>
      <c r="U123" s="1">
        <v>3.0556999999999999</v>
      </c>
      <c r="V123" s="1">
        <v>1.7223999999999999</v>
      </c>
      <c r="W123" s="1">
        <v>100.2</v>
      </c>
      <c r="X123" s="1">
        <v>1</v>
      </c>
      <c r="Y123" s="1">
        <v>1.5004999999999999</v>
      </c>
      <c r="AA123" s="1">
        <v>0.23300000000000001</v>
      </c>
      <c r="AB123" s="1">
        <v>-0.2712</v>
      </c>
      <c r="AC123" s="1">
        <v>0.28089999999999998</v>
      </c>
      <c r="AD123" s="1">
        <v>4.0816999999999997</v>
      </c>
      <c r="AE123" s="1">
        <v>5.3578999999999999</v>
      </c>
      <c r="AF123" s="1">
        <v>2.0737999999999999</v>
      </c>
    </row>
    <row r="124" spans="1:32" x14ac:dyDescent="0.2">
      <c r="A124" s="1">
        <v>110</v>
      </c>
      <c r="B124" s="1">
        <v>1</v>
      </c>
      <c r="C124" s="1">
        <v>25.2</v>
      </c>
      <c r="D124" s="1">
        <v>1</v>
      </c>
      <c r="E124" s="1">
        <v>2.0840000000000001</v>
      </c>
      <c r="F124" s="1">
        <v>0.78259999999999996</v>
      </c>
      <c r="G124" s="1">
        <v>0.55589999999999995</v>
      </c>
      <c r="H124" s="1">
        <v>-0.59609999999999996</v>
      </c>
      <c r="I124" s="1">
        <v>1.4E-3</v>
      </c>
      <c r="J124" s="1">
        <v>3.2726999999999999</v>
      </c>
      <c r="K124" s="1">
        <v>3.6177000000000001</v>
      </c>
      <c r="L124" s="1">
        <v>1.9884999999999999</v>
      </c>
      <c r="M124" s="1">
        <v>-55.1</v>
      </c>
      <c r="N124" s="1">
        <v>1</v>
      </c>
      <c r="O124" s="1">
        <v>2.3997999999999999</v>
      </c>
      <c r="P124" s="1">
        <v>0.89900000000000002</v>
      </c>
      <c r="Q124" s="1">
        <v>0.31519999999999998</v>
      </c>
      <c r="R124" s="1">
        <v>-0.47649999999999998</v>
      </c>
      <c r="S124" s="1">
        <v>2.1000000000000001E-2</v>
      </c>
      <c r="T124" s="1">
        <v>1.3242</v>
      </c>
      <c r="U124" s="1">
        <v>2.6120000000000001</v>
      </c>
      <c r="V124" s="1">
        <v>1.7764</v>
      </c>
      <c r="W124" s="1">
        <v>100.3</v>
      </c>
      <c r="X124" s="1">
        <v>1</v>
      </c>
      <c r="Y124" s="1">
        <v>1.5622</v>
      </c>
      <c r="AA124" s="1">
        <v>0.57130000000000003</v>
      </c>
      <c r="AB124" s="1">
        <v>-0.78510000000000002</v>
      </c>
      <c r="AC124" s="1">
        <v>0.19170000000000001</v>
      </c>
      <c r="AD124" s="1">
        <v>3.2679</v>
      </c>
      <c r="AE124" s="1">
        <v>4.8026</v>
      </c>
      <c r="AF124" s="1">
        <v>2.1473</v>
      </c>
    </row>
    <row r="125" spans="1:32" x14ac:dyDescent="0.2">
      <c r="A125" s="1">
        <v>111</v>
      </c>
      <c r="B125" s="1">
        <v>1</v>
      </c>
      <c r="C125" s="1">
        <v>25.1</v>
      </c>
      <c r="D125" s="1">
        <v>1</v>
      </c>
      <c r="E125" s="1">
        <v>2.0400999999999998</v>
      </c>
      <c r="F125" s="1">
        <v>0.78820000000000001</v>
      </c>
      <c r="G125" s="1">
        <v>0.2576</v>
      </c>
      <c r="H125" s="1">
        <v>-0.22009999999999999</v>
      </c>
      <c r="I125" s="1">
        <v>1.1000000000000001E-3</v>
      </c>
      <c r="J125" s="1">
        <v>3.3843999999999999</v>
      </c>
      <c r="K125" s="1">
        <v>4.5774999999999997</v>
      </c>
      <c r="L125" s="1">
        <v>1.6987000000000001</v>
      </c>
      <c r="M125" s="1">
        <v>-56.5</v>
      </c>
      <c r="N125" s="1">
        <v>1</v>
      </c>
      <c r="O125" s="1">
        <v>2.4575999999999998</v>
      </c>
      <c r="P125" s="1">
        <v>0.90329999999999999</v>
      </c>
      <c r="Q125" s="1">
        <v>0.27089999999999997</v>
      </c>
      <c r="R125" s="1">
        <v>-0.22739999999999999</v>
      </c>
      <c r="S125" s="1">
        <v>2.3900000000000001E-2</v>
      </c>
      <c r="T125" s="1">
        <v>2.0043000000000002</v>
      </c>
      <c r="U125" s="1">
        <v>3.3902999999999999</v>
      </c>
      <c r="V125" s="1">
        <v>1.5434000000000001</v>
      </c>
      <c r="W125" s="1">
        <v>100.2</v>
      </c>
      <c r="X125" s="1">
        <v>1</v>
      </c>
      <c r="Y125" s="1">
        <v>1.5730999999999999</v>
      </c>
      <c r="AA125" s="1">
        <v>0.2399</v>
      </c>
      <c r="AB125" s="1">
        <v>-0.29010000000000002</v>
      </c>
      <c r="AC125" s="1">
        <v>0.15529999999999999</v>
      </c>
      <c r="AD125" s="1">
        <v>3.9830000000000001</v>
      </c>
      <c r="AE125" s="1">
        <v>5.7807000000000004</v>
      </c>
      <c r="AF125" s="1">
        <v>1.8549</v>
      </c>
    </row>
    <row r="126" spans="1:32" x14ac:dyDescent="0.2">
      <c r="A126" s="1">
        <v>112</v>
      </c>
      <c r="B126" s="1">
        <v>1</v>
      </c>
      <c r="C126" s="1">
        <v>25</v>
      </c>
      <c r="D126" s="1">
        <v>1</v>
      </c>
      <c r="E126" s="1">
        <v>2.0226999999999999</v>
      </c>
      <c r="F126" s="1">
        <v>0.78069999999999995</v>
      </c>
      <c r="G126" s="1">
        <v>0.186</v>
      </c>
      <c r="H126" s="1">
        <v>-0.32679999999999998</v>
      </c>
      <c r="I126" s="1">
        <v>1.2999999999999999E-3</v>
      </c>
      <c r="J126" s="1">
        <v>3.4685999999999999</v>
      </c>
      <c r="K126" s="1">
        <v>3.8856999999999999</v>
      </c>
      <c r="L126" s="1">
        <v>1.8633999999999999</v>
      </c>
      <c r="M126" s="1">
        <v>-56</v>
      </c>
      <c r="N126" s="1">
        <v>1</v>
      </c>
      <c r="O126" s="1">
        <v>2.4474</v>
      </c>
      <c r="P126" s="1">
        <v>0.89829999999999999</v>
      </c>
      <c r="Q126" s="1">
        <v>0.25879999999999997</v>
      </c>
      <c r="R126" s="1">
        <v>-0.46079999999999999</v>
      </c>
      <c r="S126" s="1">
        <v>2.4E-2</v>
      </c>
      <c r="T126" s="1">
        <v>1.9697</v>
      </c>
      <c r="U126" s="1">
        <v>2.8206000000000002</v>
      </c>
      <c r="V126" s="1">
        <v>1.6987000000000001</v>
      </c>
      <c r="W126" s="1">
        <v>100.3</v>
      </c>
      <c r="X126" s="1">
        <v>1</v>
      </c>
      <c r="Y126" s="1">
        <v>1.5309999999999999</v>
      </c>
      <c r="AA126" s="1">
        <v>0.186</v>
      </c>
      <c r="AB126" s="1">
        <v>-0.38690000000000002</v>
      </c>
      <c r="AC126" s="1">
        <v>0.1767</v>
      </c>
      <c r="AD126" s="1">
        <v>3.9826000000000001</v>
      </c>
      <c r="AE126" s="1">
        <v>5.0429000000000004</v>
      </c>
      <c r="AF126" s="1">
        <v>2.0287000000000002</v>
      </c>
    </row>
    <row r="127" spans="1:32" x14ac:dyDescent="0.2">
      <c r="A127" s="1">
        <v>113</v>
      </c>
      <c r="B127" s="1">
        <v>1</v>
      </c>
      <c r="C127" s="1">
        <v>25.1</v>
      </c>
      <c r="D127" s="1">
        <v>1</v>
      </c>
      <c r="E127" s="1">
        <v>1.9718</v>
      </c>
      <c r="F127" s="1">
        <v>0.77759999999999996</v>
      </c>
      <c r="G127" s="1">
        <v>6.6600000000000006E-2</v>
      </c>
      <c r="H127" s="1">
        <v>-0.1681</v>
      </c>
      <c r="I127" s="1">
        <v>1.4E-3</v>
      </c>
      <c r="J127" s="1">
        <v>3.4828999999999999</v>
      </c>
      <c r="K127" s="1">
        <v>3.9641000000000002</v>
      </c>
      <c r="L127" s="1">
        <v>2.0566</v>
      </c>
      <c r="M127" s="1">
        <v>-56.5</v>
      </c>
      <c r="N127" s="1">
        <v>1</v>
      </c>
      <c r="O127" s="1">
        <v>2.3856000000000002</v>
      </c>
      <c r="P127" s="1">
        <v>0.89880000000000004</v>
      </c>
      <c r="Q127" s="1">
        <v>0.26700000000000002</v>
      </c>
      <c r="R127" s="1">
        <v>-0.27539999999999998</v>
      </c>
      <c r="S127" s="1">
        <v>2.52E-2</v>
      </c>
      <c r="T127" s="1">
        <v>1.9899</v>
      </c>
      <c r="U127" s="1">
        <v>2.8881000000000001</v>
      </c>
      <c r="V127" s="1">
        <v>1.8851</v>
      </c>
      <c r="W127" s="1">
        <v>100.2</v>
      </c>
      <c r="X127" s="1">
        <v>1</v>
      </c>
      <c r="Y127" s="1">
        <v>1.4866999999999999</v>
      </c>
      <c r="AA127" s="1">
        <v>0.33329999999999999</v>
      </c>
      <c r="AB127" s="1">
        <v>-0.29670000000000002</v>
      </c>
      <c r="AC127" s="1">
        <v>0.2009</v>
      </c>
      <c r="AD127" s="1">
        <v>4.0872999999999999</v>
      </c>
      <c r="AE127" s="1">
        <v>5.1658999999999997</v>
      </c>
      <c r="AF127" s="1">
        <v>2.2349999999999999</v>
      </c>
    </row>
    <row r="128" spans="1:32" x14ac:dyDescent="0.2">
      <c r="A128" s="1">
        <v>114</v>
      </c>
      <c r="B128" s="1">
        <v>1</v>
      </c>
      <c r="C128" s="1">
        <v>25.1</v>
      </c>
      <c r="D128" s="1">
        <v>1</v>
      </c>
      <c r="E128" s="1">
        <v>2.0068999999999999</v>
      </c>
      <c r="F128" s="1">
        <v>0.78</v>
      </c>
      <c r="G128" s="1">
        <v>0.11899999999999999</v>
      </c>
      <c r="H128" s="1">
        <v>-0.30059999999999998</v>
      </c>
      <c r="I128" s="1">
        <v>1.4E-3</v>
      </c>
      <c r="J128" s="1">
        <v>3.4733000000000001</v>
      </c>
      <c r="K128" s="1">
        <v>3.9710999999999999</v>
      </c>
      <c r="L128" s="1">
        <v>1.8973</v>
      </c>
      <c r="M128" s="1">
        <v>-55.7</v>
      </c>
      <c r="N128" s="1">
        <v>1</v>
      </c>
      <c r="O128" s="1">
        <v>2.4243999999999999</v>
      </c>
      <c r="P128" s="1">
        <v>0.89870000000000005</v>
      </c>
      <c r="Q128" s="1">
        <v>0.26019999999999999</v>
      </c>
      <c r="R128" s="1">
        <v>-0.2024</v>
      </c>
      <c r="S128" s="1">
        <v>2.3699999999999999E-2</v>
      </c>
      <c r="T128" s="1">
        <v>1.9925999999999999</v>
      </c>
      <c r="U128" s="1">
        <v>2.8984999999999999</v>
      </c>
      <c r="V128" s="1">
        <v>1.7315</v>
      </c>
      <c r="W128" s="1">
        <v>100.2</v>
      </c>
      <c r="X128" s="1">
        <v>1</v>
      </c>
      <c r="Y128" s="1">
        <v>1.5223</v>
      </c>
      <c r="AA128" s="1">
        <v>0.33139999999999997</v>
      </c>
      <c r="AB128" s="1">
        <v>-0.31769999999999998</v>
      </c>
      <c r="AC128" s="1">
        <v>0.19570000000000001</v>
      </c>
      <c r="AD128" s="1">
        <v>4.0286</v>
      </c>
      <c r="AE128" s="1">
        <v>5.1391</v>
      </c>
      <c r="AF128" s="1">
        <v>2.0669</v>
      </c>
    </row>
    <row r="129" spans="1:32" x14ac:dyDescent="0.2">
      <c r="A129" s="1">
        <v>115</v>
      </c>
      <c r="B129" s="1">
        <v>1</v>
      </c>
      <c r="C129" s="1">
        <v>25.2</v>
      </c>
      <c r="D129" s="1">
        <v>1</v>
      </c>
      <c r="E129" s="1">
        <v>1.9421999999999999</v>
      </c>
      <c r="F129" s="1">
        <v>0.77539999999999998</v>
      </c>
      <c r="G129" s="1">
        <v>0.17299999999999999</v>
      </c>
      <c r="H129" s="1">
        <v>-0.1055</v>
      </c>
      <c r="I129" s="1">
        <v>1.2999999999999999E-3</v>
      </c>
      <c r="J129" s="1">
        <v>3.5183</v>
      </c>
      <c r="K129" s="1">
        <v>3.9009999999999998</v>
      </c>
      <c r="L129" s="1">
        <v>2.1482999999999999</v>
      </c>
      <c r="M129" s="1">
        <v>-55.8</v>
      </c>
      <c r="N129" s="1">
        <v>1</v>
      </c>
      <c r="O129" s="1">
        <v>2.3717000000000001</v>
      </c>
      <c r="P129" s="1">
        <v>0.89629999999999999</v>
      </c>
      <c r="Q129" s="1">
        <v>0.4572</v>
      </c>
      <c r="R129" s="1">
        <v>-2.3409</v>
      </c>
      <c r="S129" s="1">
        <v>2.3800000000000002E-2</v>
      </c>
      <c r="T129" s="1">
        <v>1.9956</v>
      </c>
      <c r="U129" s="1">
        <v>2.7804000000000002</v>
      </c>
      <c r="V129" s="1">
        <v>1.9728000000000001</v>
      </c>
      <c r="W129" s="1">
        <v>100.4</v>
      </c>
      <c r="X129" s="1">
        <v>1</v>
      </c>
      <c r="Y129" s="1">
        <v>1.4215</v>
      </c>
      <c r="AA129" s="1">
        <v>0.37169999999999997</v>
      </c>
      <c r="AB129" s="1">
        <v>-0.55069999999999997</v>
      </c>
      <c r="AC129" s="1">
        <v>0.25219999999999998</v>
      </c>
      <c r="AD129" s="1">
        <v>4.1037999999999997</v>
      </c>
      <c r="AE129" s="1">
        <v>5.1374000000000004</v>
      </c>
      <c r="AF129" s="1">
        <v>2.3338000000000001</v>
      </c>
    </row>
    <row r="130" spans="1:32" x14ac:dyDescent="0.2">
      <c r="A130" s="1">
        <v>116</v>
      </c>
      <c r="B130" s="1">
        <v>1</v>
      </c>
      <c r="C130" s="1">
        <v>25</v>
      </c>
      <c r="D130" s="1">
        <v>1</v>
      </c>
      <c r="E130" s="1">
        <v>1.9671000000000001</v>
      </c>
      <c r="F130" s="1">
        <v>0.77669999999999995</v>
      </c>
      <c r="G130" s="1">
        <v>6.2100000000000002E-2</v>
      </c>
      <c r="H130" s="1">
        <v>-0.10589999999999999</v>
      </c>
      <c r="I130" s="1">
        <v>1.4E-3</v>
      </c>
      <c r="J130" s="1">
        <v>3.4388000000000001</v>
      </c>
      <c r="K130" s="1">
        <v>3.8443000000000001</v>
      </c>
      <c r="L130" s="1">
        <v>1.9535</v>
      </c>
      <c r="M130" s="1">
        <v>-54.7</v>
      </c>
      <c r="N130" s="1">
        <v>1</v>
      </c>
      <c r="O130" s="1">
        <v>2.3982999999999999</v>
      </c>
      <c r="P130" s="1">
        <v>0.89949999999999997</v>
      </c>
      <c r="Q130" s="1">
        <v>1.5100000000000001E-2</v>
      </c>
      <c r="R130" s="1">
        <v>-3.6700000000000003E-2</v>
      </c>
      <c r="S130" s="1">
        <v>2.5000000000000001E-2</v>
      </c>
      <c r="T130" s="1">
        <v>1.9400999999999999</v>
      </c>
      <c r="U130" s="1">
        <v>2.7381000000000002</v>
      </c>
      <c r="V130" s="1">
        <v>1.7802</v>
      </c>
      <c r="W130" s="1">
        <v>100.5</v>
      </c>
      <c r="X130" s="1">
        <v>1</v>
      </c>
      <c r="Y130" s="1">
        <v>1.4327000000000001</v>
      </c>
      <c r="AA130" s="1">
        <v>0.16389999999999999</v>
      </c>
      <c r="AB130" s="1">
        <v>-0.27229999999999999</v>
      </c>
      <c r="AC130" s="1">
        <v>0.32179999999999997</v>
      </c>
      <c r="AD130" s="1">
        <v>4.0686</v>
      </c>
      <c r="AE130" s="1">
        <v>5.0913000000000004</v>
      </c>
      <c r="AF130" s="1">
        <v>2.1364000000000001</v>
      </c>
    </row>
    <row r="131" spans="1:32" x14ac:dyDescent="0.2">
      <c r="A131" s="1">
        <v>117</v>
      </c>
      <c r="B131" s="1">
        <v>1</v>
      </c>
      <c r="C131" s="1">
        <v>25</v>
      </c>
      <c r="D131" s="1">
        <v>1</v>
      </c>
      <c r="E131" s="1">
        <v>1.9885999999999999</v>
      </c>
      <c r="F131" s="1">
        <v>0.77539999999999998</v>
      </c>
      <c r="G131" s="1">
        <v>0.31430000000000002</v>
      </c>
      <c r="H131" s="1">
        <v>-0.2913</v>
      </c>
      <c r="I131" s="1">
        <v>1.2999999999999999E-3</v>
      </c>
      <c r="J131" s="1">
        <v>3.4584000000000001</v>
      </c>
      <c r="K131" s="1">
        <v>3.8795999999999999</v>
      </c>
      <c r="L131" s="1">
        <v>2.0823999999999998</v>
      </c>
      <c r="M131" s="1">
        <v>-55</v>
      </c>
      <c r="N131" s="1">
        <v>1</v>
      </c>
      <c r="O131" s="1">
        <v>2.4100999999999999</v>
      </c>
      <c r="P131" s="1">
        <v>0.89600000000000002</v>
      </c>
      <c r="Q131" s="1">
        <v>0.26619999999999999</v>
      </c>
      <c r="R131" s="1">
        <v>-0.19089999999999999</v>
      </c>
      <c r="S131" s="1">
        <v>2.4299999999999999E-2</v>
      </c>
      <c r="T131" s="1">
        <v>1.9903</v>
      </c>
      <c r="U131" s="1">
        <v>2.7675000000000001</v>
      </c>
      <c r="V131" s="1">
        <v>1.9069</v>
      </c>
      <c r="W131" s="1">
        <v>100.3</v>
      </c>
      <c r="X131" s="1">
        <v>1</v>
      </c>
      <c r="Y131" s="1">
        <v>1.4716</v>
      </c>
      <c r="AA131" s="1">
        <v>0.18740000000000001</v>
      </c>
      <c r="AB131" s="1">
        <v>-0.24829999999999999</v>
      </c>
      <c r="AC131" s="1">
        <v>0.25240000000000001</v>
      </c>
      <c r="AD131" s="1">
        <v>4.0275999999999996</v>
      </c>
      <c r="AE131" s="1">
        <v>5.0978000000000003</v>
      </c>
      <c r="AF131" s="1">
        <v>2.2646999999999999</v>
      </c>
    </row>
    <row r="132" spans="1:32" x14ac:dyDescent="0.2">
      <c r="A132" s="1">
        <v>118</v>
      </c>
      <c r="B132" s="1">
        <v>1</v>
      </c>
      <c r="C132" s="1">
        <v>25.1</v>
      </c>
      <c r="D132" s="1">
        <v>1</v>
      </c>
      <c r="E132" s="1">
        <v>1.996</v>
      </c>
      <c r="F132" s="1">
        <v>0.78010000000000002</v>
      </c>
      <c r="G132" s="1">
        <v>0.28939999999999999</v>
      </c>
      <c r="H132" s="1">
        <v>-0.37309999999999999</v>
      </c>
      <c r="I132" s="1">
        <v>1.5E-3</v>
      </c>
      <c r="J132" s="1">
        <v>3.4230999999999998</v>
      </c>
      <c r="K132" s="1">
        <v>3.9003000000000001</v>
      </c>
      <c r="L132" s="1">
        <v>1.8317000000000001</v>
      </c>
      <c r="M132" s="1">
        <v>-54.8</v>
      </c>
      <c r="N132" s="1">
        <v>1</v>
      </c>
      <c r="O132" s="1">
        <v>2.4043999999999999</v>
      </c>
      <c r="P132" s="1">
        <v>0.89570000000000005</v>
      </c>
      <c r="Q132" s="1">
        <v>0.39700000000000002</v>
      </c>
      <c r="R132" s="1">
        <v>-1.879</v>
      </c>
      <c r="S132" s="1">
        <v>2.4199999999999999E-2</v>
      </c>
      <c r="T132" s="1">
        <v>2.0026999999999999</v>
      </c>
      <c r="U132" s="1">
        <v>2.8551000000000002</v>
      </c>
      <c r="V132" s="1">
        <v>1.6709000000000001</v>
      </c>
      <c r="W132" s="1">
        <v>100.6</v>
      </c>
      <c r="X132" s="1">
        <v>1</v>
      </c>
      <c r="Y132" s="1">
        <v>1.5111000000000001</v>
      </c>
      <c r="AA132" s="1">
        <v>0.17369999999999999</v>
      </c>
      <c r="AB132" s="1">
        <v>-0.3352</v>
      </c>
      <c r="AC132" s="1">
        <v>0.19370000000000001</v>
      </c>
      <c r="AD132" s="1">
        <v>3.9881000000000002</v>
      </c>
      <c r="AE132" s="1">
        <v>5.0636000000000001</v>
      </c>
      <c r="AF132" s="1">
        <v>1.9972000000000001</v>
      </c>
    </row>
    <row r="133" spans="1:32" x14ac:dyDescent="0.2">
      <c r="A133" s="1">
        <v>119</v>
      </c>
      <c r="B133" s="1">
        <v>1</v>
      </c>
      <c r="C133" s="1">
        <v>25.1</v>
      </c>
      <c r="D133" s="1">
        <v>1</v>
      </c>
      <c r="E133" s="1">
        <v>2.0253000000000001</v>
      </c>
      <c r="F133" s="1">
        <v>0.77729999999999999</v>
      </c>
      <c r="G133" s="1">
        <v>0.29409999999999997</v>
      </c>
      <c r="H133" s="1">
        <v>-0.3468</v>
      </c>
      <c r="I133" s="1">
        <v>1.4E-3</v>
      </c>
      <c r="J133" s="1">
        <v>3.4849999999999999</v>
      </c>
      <c r="K133" s="1">
        <v>3.8721999999999999</v>
      </c>
      <c r="L133" s="1">
        <v>2.0783999999999998</v>
      </c>
      <c r="M133" s="1">
        <v>-54.9</v>
      </c>
      <c r="N133" s="1">
        <v>1</v>
      </c>
      <c r="O133" s="1">
        <v>2.4658000000000002</v>
      </c>
      <c r="P133" s="1">
        <v>0.8931</v>
      </c>
      <c r="Q133" s="1">
        <v>5.5300000000000002E-2</v>
      </c>
      <c r="R133" s="1">
        <v>-5.1200000000000002E-2</v>
      </c>
      <c r="S133" s="1">
        <v>2.4299999999999999E-2</v>
      </c>
      <c r="T133" s="1">
        <v>1.9919</v>
      </c>
      <c r="U133" s="1">
        <v>2.8206000000000002</v>
      </c>
      <c r="V133" s="1">
        <v>1.9088000000000001</v>
      </c>
      <c r="W133" s="1">
        <v>100.2</v>
      </c>
      <c r="X133" s="1">
        <v>1</v>
      </c>
      <c r="Y133" s="1">
        <v>1.5182</v>
      </c>
      <c r="AA133" s="1">
        <v>0.27029999999999998</v>
      </c>
      <c r="AB133" s="1">
        <v>-0.47199999999999998</v>
      </c>
      <c r="AC133" s="1">
        <v>0.1716</v>
      </c>
      <c r="AD133" s="1">
        <v>4.0105000000000004</v>
      </c>
      <c r="AE133" s="1">
        <v>5.0431999999999997</v>
      </c>
      <c r="AF133" s="1">
        <v>2.2526999999999999</v>
      </c>
    </row>
    <row r="134" spans="1:32" x14ac:dyDescent="0.2">
      <c r="A134" s="1">
        <v>120</v>
      </c>
      <c r="B134" s="1">
        <v>1</v>
      </c>
      <c r="C134" s="1">
        <v>25.6</v>
      </c>
      <c r="D134" s="1">
        <v>1</v>
      </c>
      <c r="E134" s="1">
        <v>1.966</v>
      </c>
      <c r="F134" s="1">
        <v>0.77839999999999998</v>
      </c>
      <c r="G134" s="1">
        <v>0.17780000000000001</v>
      </c>
      <c r="H134" s="1">
        <v>-0.14000000000000001</v>
      </c>
      <c r="I134" s="1">
        <v>1.1999999999999999E-3</v>
      </c>
      <c r="J134" s="1">
        <v>3.4039000000000001</v>
      </c>
      <c r="K134" s="1">
        <v>3.9998999999999998</v>
      </c>
      <c r="L134" s="1">
        <v>2.0764</v>
      </c>
      <c r="M134" s="1">
        <v>-54.8</v>
      </c>
      <c r="N134" s="1">
        <v>1</v>
      </c>
      <c r="O134" s="1">
        <v>2.3812000000000002</v>
      </c>
      <c r="P134" s="1">
        <v>0.89970000000000006</v>
      </c>
      <c r="Q134" s="1">
        <v>0.23400000000000001</v>
      </c>
      <c r="R134" s="1">
        <v>-0.29830000000000001</v>
      </c>
      <c r="S134" s="1">
        <v>2.3900000000000001E-2</v>
      </c>
      <c r="T134" s="1">
        <v>1.9453</v>
      </c>
      <c r="U134" s="1">
        <v>2.9121000000000001</v>
      </c>
      <c r="V134" s="1">
        <v>1.9000999999999999</v>
      </c>
      <c r="W134" s="1">
        <v>100.4</v>
      </c>
      <c r="X134" s="1">
        <v>1</v>
      </c>
      <c r="Y134" s="1">
        <v>1.4456</v>
      </c>
      <c r="AA134" s="1">
        <v>0.37459999999999999</v>
      </c>
      <c r="AB134" s="1">
        <v>-0.47399999999999998</v>
      </c>
      <c r="AC134" s="1">
        <v>0.33600000000000002</v>
      </c>
      <c r="AD134" s="1">
        <v>4.1416000000000004</v>
      </c>
      <c r="AE134" s="1">
        <v>5.2630999999999997</v>
      </c>
      <c r="AF134" s="1">
        <v>2.2673999999999999</v>
      </c>
    </row>
    <row r="135" spans="1:32" x14ac:dyDescent="0.2">
      <c r="A135" s="1">
        <v>121</v>
      </c>
      <c r="B135" s="1">
        <v>1</v>
      </c>
      <c r="C135" s="1">
        <v>25.1</v>
      </c>
      <c r="D135" s="1">
        <v>1</v>
      </c>
      <c r="E135" s="1">
        <v>2.0312999999999999</v>
      </c>
      <c r="F135" s="1">
        <v>0.77969999999999995</v>
      </c>
      <c r="G135" s="1">
        <v>0.1835</v>
      </c>
      <c r="H135" s="1">
        <v>-0.1086</v>
      </c>
      <c r="I135" s="1">
        <v>1.1999999999999999E-3</v>
      </c>
      <c r="J135" s="1">
        <v>3.4285000000000001</v>
      </c>
      <c r="K135" s="1">
        <v>3.9312999999999998</v>
      </c>
      <c r="L135" s="1">
        <v>1.8701000000000001</v>
      </c>
      <c r="M135" s="1">
        <v>-54.9</v>
      </c>
      <c r="N135" s="1">
        <v>1</v>
      </c>
      <c r="O135" s="1">
        <v>2.4378000000000002</v>
      </c>
      <c r="P135" s="1">
        <v>0.89359999999999995</v>
      </c>
      <c r="Q135" s="1">
        <v>0.25850000000000001</v>
      </c>
      <c r="R135" s="1">
        <v>-0.27460000000000001</v>
      </c>
      <c r="S135" s="1">
        <v>2.52E-2</v>
      </c>
      <c r="T135" s="1">
        <v>1.9797</v>
      </c>
      <c r="U135" s="1">
        <v>2.8620000000000001</v>
      </c>
      <c r="V135" s="1">
        <v>1.7081999999999999</v>
      </c>
      <c r="W135" s="1">
        <v>101</v>
      </c>
      <c r="X135" s="1">
        <v>1</v>
      </c>
      <c r="Y135" s="1">
        <v>1.5497000000000001</v>
      </c>
      <c r="AA135" s="1">
        <v>0.35780000000000001</v>
      </c>
      <c r="AB135" s="1">
        <v>-0.35799999999999998</v>
      </c>
      <c r="AC135" s="1">
        <v>0.18049999999999999</v>
      </c>
      <c r="AD135" s="1">
        <v>3.9678</v>
      </c>
      <c r="AE135" s="1">
        <v>5.0694999999999997</v>
      </c>
      <c r="AF135" s="1">
        <v>2.0356999999999998</v>
      </c>
    </row>
    <row r="136" spans="1:32" x14ac:dyDescent="0.2">
      <c r="A136" s="1">
        <v>122</v>
      </c>
      <c r="B136" s="1">
        <v>1</v>
      </c>
      <c r="C136" s="1">
        <v>25.1</v>
      </c>
      <c r="D136" s="1">
        <v>1</v>
      </c>
      <c r="E136" s="1">
        <v>2.0341999999999998</v>
      </c>
      <c r="F136" s="1">
        <v>0.78110000000000002</v>
      </c>
      <c r="G136" s="1">
        <v>0.30559999999999998</v>
      </c>
      <c r="H136" s="1">
        <v>-0.34239999999999998</v>
      </c>
      <c r="I136" s="1">
        <v>1.4E-3</v>
      </c>
      <c r="J136" s="1">
        <v>3.4346999999999999</v>
      </c>
      <c r="K136" s="1">
        <v>3.9518</v>
      </c>
      <c r="L136" s="1">
        <v>1.891</v>
      </c>
      <c r="M136" s="1">
        <v>-54.8</v>
      </c>
      <c r="N136" s="1">
        <v>1</v>
      </c>
      <c r="O136" s="1">
        <v>2.4453</v>
      </c>
      <c r="P136" s="1">
        <v>0.89649999999999996</v>
      </c>
      <c r="Q136" s="1">
        <v>0.2616</v>
      </c>
      <c r="R136" s="1">
        <v>-0.28249999999999997</v>
      </c>
      <c r="S136" s="1">
        <v>2.4899999999999999E-2</v>
      </c>
      <c r="T136" s="1">
        <v>1.9652000000000001</v>
      </c>
      <c r="U136" s="1">
        <v>2.9022999999999999</v>
      </c>
      <c r="V136" s="1">
        <v>1.7279</v>
      </c>
      <c r="W136" s="1">
        <v>100.4</v>
      </c>
      <c r="X136" s="1">
        <v>1</v>
      </c>
      <c r="Y136" s="1">
        <v>1.5489999999999999</v>
      </c>
      <c r="AA136" s="1">
        <v>0.32550000000000001</v>
      </c>
      <c r="AB136" s="1">
        <v>-0.52339999999999998</v>
      </c>
      <c r="AC136" s="1">
        <v>0.17100000000000001</v>
      </c>
      <c r="AD136" s="1">
        <v>4.0164999999999997</v>
      </c>
      <c r="AE136" s="1">
        <v>5.1109</v>
      </c>
      <c r="AF136" s="1">
        <v>2.0575000000000001</v>
      </c>
    </row>
    <row r="137" spans="1:32" x14ac:dyDescent="0.2">
      <c r="A137" s="1">
        <v>123</v>
      </c>
      <c r="B137" s="1">
        <v>1</v>
      </c>
      <c r="C137" s="1">
        <v>25</v>
      </c>
      <c r="D137" s="1">
        <v>1</v>
      </c>
      <c r="E137" s="1">
        <v>1.9424999999999999</v>
      </c>
      <c r="F137" s="1">
        <v>0.77339999999999998</v>
      </c>
      <c r="G137" s="1">
        <v>0.30719999999999997</v>
      </c>
      <c r="H137" s="1">
        <v>-0.33939999999999998</v>
      </c>
      <c r="I137" s="1">
        <v>1.5E-3</v>
      </c>
      <c r="J137" s="1">
        <v>3.5139</v>
      </c>
      <c r="K137" s="1">
        <v>3.9102999999999999</v>
      </c>
      <c r="L137" s="1">
        <v>2.3212999999999999</v>
      </c>
      <c r="M137" s="1">
        <v>-55</v>
      </c>
      <c r="N137" s="1">
        <v>1</v>
      </c>
      <c r="O137" s="1">
        <v>2.3691</v>
      </c>
      <c r="P137" s="1">
        <v>0.89470000000000005</v>
      </c>
      <c r="Q137" s="1">
        <v>1.95E-2</v>
      </c>
      <c r="R137" s="1">
        <v>-3.2000000000000001E-2</v>
      </c>
      <c r="S137" s="1">
        <v>2.63E-2</v>
      </c>
      <c r="T137" s="1">
        <v>2.0011999999999999</v>
      </c>
      <c r="U137" s="1">
        <v>2.7671000000000001</v>
      </c>
      <c r="V137" s="1">
        <v>2.1434000000000002</v>
      </c>
      <c r="W137" s="1">
        <v>100</v>
      </c>
      <c r="X137" s="1">
        <v>1</v>
      </c>
      <c r="Y137" s="1">
        <v>1.4292</v>
      </c>
      <c r="AA137" s="1">
        <v>0.28949999999999998</v>
      </c>
      <c r="AB137" s="1">
        <v>-0.52790000000000004</v>
      </c>
      <c r="AC137" s="1">
        <v>0.23580000000000001</v>
      </c>
      <c r="AD137" s="1">
        <v>4.1813000000000002</v>
      </c>
      <c r="AE137" s="1">
        <v>5.1574</v>
      </c>
      <c r="AF137" s="1">
        <v>2.512</v>
      </c>
    </row>
    <row r="138" spans="1:32" x14ac:dyDescent="0.2">
      <c r="A138" s="1">
        <v>124</v>
      </c>
      <c r="B138" s="1">
        <v>1</v>
      </c>
      <c r="C138" s="1">
        <v>25.2</v>
      </c>
      <c r="D138" s="1">
        <v>1</v>
      </c>
      <c r="E138" s="1">
        <v>2.0421999999999998</v>
      </c>
      <c r="F138" s="1">
        <v>0.77600000000000002</v>
      </c>
      <c r="G138" s="1">
        <v>0.3196</v>
      </c>
      <c r="H138" s="1">
        <v>-0.26860000000000001</v>
      </c>
      <c r="I138" s="1">
        <v>1.2999999999999999E-3</v>
      </c>
      <c r="J138" s="1">
        <v>3.4977999999999998</v>
      </c>
      <c r="K138" s="1">
        <v>3.9228999999999998</v>
      </c>
      <c r="L138" s="1">
        <v>2.0798000000000001</v>
      </c>
      <c r="M138" s="1">
        <v>-55</v>
      </c>
      <c r="N138" s="1">
        <v>1</v>
      </c>
      <c r="O138" s="1">
        <v>2.4777</v>
      </c>
      <c r="P138" s="1">
        <v>0.89119999999999999</v>
      </c>
      <c r="Q138" s="1">
        <v>0.25729999999999997</v>
      </c>
      <c r="R138" s="1">
        <v>-0.29339999999999999</v>
      </c>
      <c r="S138" s="1">
        <v>2.41E-2</v>
      </c>
      <c r="T138" s="1">
        <v>2.0028999999999999</v>
      </c>
      <c r="U138" s="1">
        <v>2.84</v>
      </c>
      <c r="V138" s="1">
        <v>1.911</v>
      </c>
      <c r="W138" s="1">
        <v>100.5</v>
      </c>
      <c r="X138" s="1">
        <v>1</v>
      </c>
      <c r="Y138" s="1">
        <v>1.5474000000000001</v>
      </c>
      <c r="AA138" s="1">
        <v>0.36459999999999998</v>
      </c>
      <c r="AB138" s="1">
        <v>-0.2918</v>
      </c>
      <c r="AC138" s="1">
        <v>0.16919999999999999</v>
      </c>
      <c r="AD138" s="1">
        <v>4.0109000000000004</v>
      </c>
      <c r="AE138" s="1">
        <v>5.0731999999999999</v>
      </c>
      <c r="AF138" s="1">
        <v>2.2517</v>
      </c>
    </row>
    <row r="139" spans="1:32" x14ac:dyDescent="0.2">
      <c r="A139" s="1">
        <v>125</v>
      </c>
      <c r="B139" s="1">
        <v>1</v>
      </c>
      <c r="C139" s="1">
        <v>25.1</v>
      </c>
      <c r="D139" s="1">
        <v>1</v>
      </c>
      <c r="E139" s="1">
        <v>2.1707999999999998</v>
      </c>
      <c r="F139" s="1">
        <v>0.78339999999999999</v>
      </c>
      <c r="G139" s="1">
        <v>0.35110000000000002</v>
      </c>
      <c r="H139" s="1">
        <v>-0.40100000000000002</v>
      </c>
      <c r="I139" s="1">
        <v>1.2999999999999999E-3</v>
      </c>
      <c r="J139" s="1">
        <v>3.3591000000000002</v>
      </c>
      <c r="K139" s="1">
        <v>3.7469000000000001</v>
      </c>
      <c r="L139" s="1">
        <v>1.9659</v>
      </c>
      <c r="M139" s="1">
        <v>-55.4</v>
      </c>
      <c r="N139" s="1">
        <v>1</v>
      </c>
      <c r="O139" s="1">
        <v>2.3993000000000002</v>
      </c>
      <c r="P139" s="1">
        <v>0.90280000000000005</v>
      </c>
      <c r="Q139" s="1">
        <v>0.51900000000000002</v>
      </c>
      <c r="R139" s="1">
        <v>-0.55179999999999996</v>
      </c>
      <c r="S139" s="1">
        <v>2.0799999999999999E-2</v>
      </c>
      <c r="T139" s="1">
        <v>1.2805</v>
      </c>
      <c r="U139" s="1">
        <v>2.6046</v>
      </c>
      <c r="V139" s="1">
        <v>1.7963</v>
      </c>
      <c r="W139" s="1">
        <v>100</v>
      </c>
      <c r="X139" s="1">
        <v>1</v>
      </c>
      <c r="Y139" s="1">
        <v>1.5989</v>
      </c>
      <c r="AA139" s="1">
        <v>0.63890000000000002</v>
      </c>
      <c r="AB139" s="1">
        <v>-0.84960000000000002</v>
      </c>
      <c r="AC139" s="1">
        <v>0.2097</v>
      </c>
      <c r="AD139" s="1">
        <v>3.4138000000000002</v>
      </c>
      <c r="AE139" s="1">
        <v>4.9904000000000002</v>
      </c>
      <c r="AF139" s="1">
        <v>2.1432000000000002</v>
      </c>
    </row>
    <row r="140" spans="1:32" x14ac:dyDescent="0.2">
      <c r="A140" s="1">
        <v>126</v>
      </c>
      <c r="B140" s="1">
        <v>1</v>
      </c>
      <c r="C140" s="1">
        <v>25.1</v>
      </c>
      <c r="D140" s="1">
        <v>1</v>
      </c>
      <c r="E140" s="1">
        <v>1.9185000000000001</v>
      </c>
      <c r="F140" s="1">
        <v>0.7742</v>
      </c>
      <c r="G140" s="1">
        <v>0.15290000000000001</v>
      </c>
      <c r="H140" s="1">
        <v>-0.28549999999999998</v>
      </c>
      <c r="I140" s="1">
        <v>1.6999999999999999E-3</v>
      </c>
      <c r="J140" s="1">
        <v>3.5428999999999999</v>
      </c>
      <c r="K140" s="1">
        <v>3.8883000000000001</v>
      </c>
      <c r="L140" s="1">
        <v>2.2683</v>
      </c>
      <c r="M140" s="1">
        <v>-54.9</v>
      </c>
      <c r="N140" s="1">
        <v>1</v>
      </c>
      <c r="O140" s="1">
        <v>2.3344999999999998</v>
      </c>
      <c r="P140" s="1">
        <v>0.8911</v>
      </c>
      <c r="Q140" s="1">
        <v>0.18579999999999999</v>
      </c>
      <c r="R140" s="1">
        <v>-0.29599999999999999</v>
      </c>
      <c r="S140" s="1">
        <v>2.53E-2</v>
      </c>
      <c r="T140" s="1">
        <v>2.0255999999999998</v>
      </c>
      <c r="U140" s="1">
        <v>2.7974999999999999</v>
      </c>
      <c r="V140" s="1">
        <v>2.0958000000000001</v>
      </c>
      <c r="W140" s="1">
        <v>100.4</v>
      </c>
      <c r="X140" s="1">
        <v>1</v>
      </c>
      <c r="Y140" s="1">
        <v>1.4339999999999999</v>
      </c>
      <c r="AA140" s="1">
        <v>0.38250000000000001</v>
      </c>
      <c r="AB140" s="1">
        <v>-0.49690000000000001</v>
      </c>
      <c r="AC140" s="1">
        <v>0.17979999999999999</v>
      </c>
      <c r="AD140" s="1">
        <v>4.1398999999999999</v>
      </c>
      <c r="AE140" s="1">
        <v>5.0697999999999999</v>
      </c>
      <c r="AF140" s="1">
        <v>2.4474999999999998</v>
      </c>
    </row>
    <row r="141" spans="1:32" x14ac:dyDescent="0.2">
      <c r="A141" s="1">
        <v>127</v>
      </c>
      <c r="B141" s="1">
        <v>1</v>
      </c>
      <c r="C141" s="1">
        <v>25.1</v>
      </c>
      <c r="D141" s="1">
        <v>1</v>
      </c>
      <c r="E141" s="1">
        <v>2.0217999999999998</v>
      </c>
      <c r="F141" s="1">
        <v>0.77410000000000001</v>
      </c>
      <c r="G141" s="1">
        <v>5.5100000000000003E-2</v>
      </c>
      <c r="H141" s="1">
        <v>-0.10929999999999999</v>
      </c>
      <c r="I141" s="1">
        <v>1.5E-3</v>
      </c>
      <c r="J141" s="1">
        <v>3.5152000000000001</v>
      </c>
      <c r="K141" s="1">
        <v>3.9247999999999998</v>
      </c>
      <c r="L141" s="1">
        <v>2.2326999999999999</v>
      </c>
      <c r="M141" s="1">
        <v>-55.1</v>
      </c>
      <c r="N141" s="1">
        <v>1</v>
      </c>
      <c r="O141" s="1">
        <v>2.4514999999999998</v>
      </c>
      <c r="P141" s="1">
        <v>0.89039999999999997</v>
      </c>
      <c r="Q141" s="1">
        <v>0.27139999999999997</v>
      </c>
      <c r="R141" s="1">
        <v>-0.32119999999999999</v>
      </c>
      <c r="S141" s="1">
        <v>2.3599999999999999E-2</v>
      </c>
      <c r="T141" s="1">
        <v>1.9843999999999999</v>
      </c>
      <c r="U141" s="1">
        <v>2.8389000000000002</v>
      </c>
      <c r="V141" s="1">
        <v>2.0613999999999999</v>
      </c>
      <c r="W141" s="1">
        <v>100.6</v>
      </c>
      <c r="X141" s="1">
        <v>1</v>
      </c>
      <c r="Y141" s="1">
        <v>1.5267999999999999</v>
      </c>
      <c r="AA141" s="1">
        <v>0.22189999999999999</v>
      </c>
      <c r="AB141" s="1">
        <v>-0.43419999999999997</v>
      </c>
      <c r="AC141" s="1">
        <v>0.17219999999999999</v>
      </c>
      <c r="AD141" s="1">
        <v>4.0712999999999999</v>
      </c>
      <c r="AE141" s="1">
        <v>5.0972</v>
      </c>
      <c r="AF141" s="1">
        <v>2.4108000000000001</v>
      </c>
    </row>
    <row r="142" spans="1:32" x14ac:dyDescent="0.2">
      <c r="A142" s="1">
        <v>128</v>
      </c>
      <c r="B142" s="1">
        <v>1</v>
      </c>
      <c r="C142" s="1">
        <v>25.3</v>
      </c>
      <c r="D142" s="1">
        <v>1</v>
      </c>
      <c r="E142" s="1">
        <v>2.0106000000000002</v>
      </c>
      <c r="F142" s="1">
        <v>0.77390000000000003</v>
      </c>
      <c r="G142" s="1">
        <v>9.1300000000000006E-2</v>
      </c>
      <c r="H142" s="1">
        <v>-0.14230000000000001</v>
      </c>
      <c r="I142" s="1">
        <v>1.8E-3</v>
      </c>
      <c r="J142" s="1">
        <v>3.4946000000000002</v>
      </c>
      <c r="K142" s="1">
        <v>3.8938000000000001</v>
      </c>
      <c r="L142" s="1">
        <v>2.2334000000000001</v>
      </c>
      <c r="M142" s="1">
        <v>-55.2</v>
      </c>
      <c r="N142" s="1">
        <v>1</v>
      </c>
      <c r="O142" s="1">
        <v>2.4318</v>
      </c>
      <c r="P142" s="1">
        <v>0.89090000000000003</v>
      </c>
      <c r="Q142" s="1">
        <v>1.9649000000000001</v>
      </c>
      <c r="R142" s="1">
        <v>-22.377099999999999</v>
      </c>
      <c r="S142" s="1">
        <v>2.4899999999999999E-2</v>
      </c>
      <c r="T142" s="1">
        <v>1.9819</v>
      </c>
      <c r="U142" s="1">
        <v>2.8130999999999999</v>
      </c>
      <c r="V142" s="1">
        <v>2.0613000000000001</v>
      </c>
      <c r="W142" s="1">
        <v>100.8</v>
      </c>
      <c r="X142" s="1">
        <v>1</v>
      </c>
      <c r="Y142" s="1">
        <v>1.5121</v>
      </c>
      <c r="AA142" s="1">
        <v>0.18160000000000001</v>
      </c>
      <c r="AB142" s="1">
        <v>-0.39460000000000001</v>
      </c>
      <c r="AC142" s="1">
        <v>0.19420000000000001</v>
      </c>
      <c r="AD142" s="1">
        <v>4.0915999999999997</v>
      </c>
      <c r="AE142" s="1">
        <v>5.1039000000000003</v>
      </c>
      <c r="AF142" s="1">
        <v>2.4184999999999999</v>
      </c>
    </row>
    <row r="143" spans="1:32" x14ac:dyDescent="0.2">
      <c r="A143" s="1">
        <v>130</v>
      </c>
      <c r="B143" s="1">
        <v>1</v>
      </c>
      <c r="C143" s="1">
        <v>25.2</v>
      </c>
      <c r="D143" s="1">
        <v>1</v>
      </c>
      <c r="E143" s="1">
        <v>2.0558000000000001</v>
      </c>
      <c r="F143" s="1">
        <v>0.77910000000000001</v>
      </c>
      <c r="G143" s="1">
        <v>0.30070000000000002</v>
      </c>
      <c r="H143" s="1">
        <v>-0.38440000000000002</v>
      </c>
      <c r="I143" s="1">
        <v>1.1999999999999999E-3</v>
      </c>
      <c r="J143" s="1">
        <v>3.4569000000000001</v>
      </c>
      <c r="K143" s="1">
        <v>3.9102999999999999</v>
      </c>
      <c r="L143" s="1">
        <v>1.9767999999999999</v>
      </c>
      <c r="M143" s="1">
        <v>-55.3</v>
      </c>
      <c r="N143" s="1">
        <v>1</v>
      </c>
      <c r="O143" s="1">
        <v>2.4963000000000002</v>
      </c>
      <c r="P143" s="1">
        <v>0.89339999999999997</v>
      </c>
      <c r="Q143" s="1">
        <v>0.1406</v>
      </c>
      <c r="R143" s="1">
        <v>-1.1032999999999999</v>
      </c>
      <c r="S143" s="1">
        <v>2.5499999999999998E-2</v>
      </c>
      <c r="T143" s="1">
        <v>1.9931000000000001</v>
      </c>
      <c r="U143" s="1">
        <v>2.8359999999999999</v>
      </c>
      <c r="V143" s="1">
        <v>1.8147</v>
      </c>
      <c r="W143" s="1">
        <v>100.6</v>
      </c>
      <c r="X143" s="1">
        <v>1</v>
      </c>
      <c r="Y143" s="1">
        <v>1.5484</v>
      </c>
      <c r="AA143" s="1">
        <v>0.38869999999999999</v>
      </c>
      <c r="AB143" s="1">
        <v>-0.43990000000000001</v>
      </c>
      <c r="AC143" s="1">
        <v>0.1668</v>
      </c>
      <c r="AD143" s="1">
        <v>4.0293000000000001</v>
      </c>
      <c r="AE143" s="1">
        <v>5.0852000000000004</v>
      </c>
      <c r="AF143" s="1">
        <v>2.1442999999999999</v>
      </c>
    </row>
    <row r="144" spans="1:32" x14ac:dyDescent="0.2">
      <c r="A144" s="1">
        <v>131</v>
      </c>
      <c r="B144" s="1">
        <v>1</v>
      </c>
      <c r="C144" s="1">
        <v>25.1</v>
      </c>
      <c r="D144" s="1">
        <v>1</v>
      </c>
      <c r="E144" s="1">
        <v>1.9810000000000001</v>
      </c>
      <c r="F144" s="1">
        <v>0.77470000000000006</v>
      </c>
      <c r="G144" s="1">
        <v>5.4399999999999997E-2</v>
      </c>
      <c r="H144" s="1">
        <v>-0.1416</v>
      </c>
      <c r="I144" s="1">
        <v>1.6999999999999999E-3</v>
      </c>
      <c r="J144" s="1">
        <v>3.4870999999999999</v>
      </c>
      <c r="K144" s="1">
        <v>3.8914</v>
      </c>
      <c r="L144" s="1">
        <v>2.1979000000000002</v>
      </c>
      <c r="M144" s="1">
        <v>-54.8</v>
      </c>
      <c r="N144" s="1">
        <v>1</v>
      </c>
      <c r="O144" s="1">
        <v>2.3946000000000001</v>
      </c>
      <c r="P144" s="1">
        <v>0.89090000000000003</v>
      </c>
      <c r="Q144" s="1">
        <v>0.39760000000000001</v>
      </c>
      <c r="R144" s="1">
        <v>-4.1310000000000002</v>
      </c>
      <c r="S144" s="1">
        <v>2.47E-2</v>
      </c>
      <c r="T144" s="1">
        <v>2.0339999999999998</v>
      </c>
      <c r="U144" s="1">
        <v>2.8249</v>
      </c>
      <c r="V144" s="1">
        <v>2.0213999999999999</v>
      </c>
      <c r="W144" s="1">
        <v>100.7</v>
      </c>
      <c r="X144" s="1">
        <v>1</v>
      </c>
      <c r="Y144" s="1">
        <v>1.4944</v>
      </c>
      <c r="AA144" s="1">
        <v>0.25640000000000002</v>
      </c>
      <c r="AB144" s="1">
        <v>-0.45590000000000003</v>
      </c>
      <c r="AC144" s="1">
        <v>0.1789</v>
      </c>
      <c r="AD144" s="1">
        <v>4.0823999999999998</v>
      </c>
      <c r="AE144" s="1">
        <v>5.0824999999999996</v>
      </c>
      <c r="AF144" s="1">
        <v>2.3763999999999998</v>
      </c>
    </row>
    <row r="145" spans="1:32" x14ac:dyDescent="0.2">
      <c r="A145" s="1">
        <v>132</v>
      </c>
      <c r="B145" s="1">
        <v>1</v>
      </c>
      <c r="C145" s="1">
        <v>25</v>
      </c>
      <c r="D145" s="1">
        <v>1</v>
      </c>
      <c r="E145" s="1">
        <v>2.2094</v>
      </c>
      <c r="F145" s="1">
        <v>0.78700000000000003</v>
      </c>
      <c r="G145" s="1">
        <v>0.49170000000000003</v>
      </c>
      <c r="H145" s="1">
        <v>-0.45250000000000001</v>
      </c>
      <c r="I145" s="1">
        <v>1.5E-3</v>
      </c>
      <c r="J145" s="1">
        <v>3.2334999999999998</v>
      </c>
      <c r="K145" s="1">
        <v>3.7187000000000001</v>
      </c>
      <c r="L145" s="1">
        <v>1.7544999999999999</v>
      </c>
      <c r="M145" s="1">
        <v>-55.2</v>
      </c>
      <c r="N145" s="1">
        <v>1</v>
      </c>
      <c r="O145" s="1">
        <v>2.3993000000000002</v>
      </c>
      <c r="P145" s="1">
        <v>0.90380000000000005</v>
      </c>
      <c r="Q145" s="1">
        <v>0.30530000000000002</v>
      </c>
      <c r="R145" s="1">
        <v>-0.45579999999999998</v>
      </c>
      <c r="S145" s="1">
        <v>2.1899999999999999E-2</v>
      </c>
      <c r="T145" s="1">
        <v>1.2289000000000001</v>
      </c>
      <c r="U145" s="1">
        <v>2.7082000000000002</v>
      </c>
      <c r="V145" s="1">
        <v>1.5724</v>
      </c>
      <c r="W145" s="1">
        <v>100.2</v>
      </c>
      <c r="X145" s="1">
        <v>1</v>
      </c>
      <c r="Y145" s="1">
        <v>1.6516999999999999</v>
      </c>
      <c r="AA145" s="1">
        <v>0.65290000000000004</v>
      </c>
      <c r="AB145" s="1">
        <v>-0.69910000000000005</v>
      </c>
      <c r="AC145" s="1">
        <v>0.20030000000000001</v>
      </c>
      <c r="AD145" s="1">
        <v>3.2776000000000001</v>
      </c>
      <c r="AE145" s="1">
        <v>4.8201999999999998</v>
      </c>
      <c r="AF145" s="1">
        <v>1.9234</v>
      </c>
    </row>
    <row r="146" spans="1:32" x14ac:dyDescent="0.2">
      <c r="A146" s="1">
        <v>133</v>
      </c>
      <c r="B146" s="1">
        <v>1</v>
      </c>
      <c r="C146" s="1">
        <v>24.9</v>
      </c>
      <c r="D146" s="1">
        <v>1</v>
      </c>
      <c r="E146" s="1">
        <v>2.0272000000000001</v>
      </c>
      <c r="F146" s="1">
        <v>0.77529999999999999</v>
      </c>
      <c r="G146" s="1">
        <v>0.21759999999999999</v>
      </c>
      <c r="H146" s="1">
        <v>-0.31890000000000002</v>
      </c>
      <c r="I146" s="1">
        <v>1.4E-3</v>
      </c>
      <c r="J146" s="1">
        <v>3.5282</v>
      </c>
      <c r="K146" s="1">
        <v>3.9563000000000001</v>
      </c>
      <c r="L146" s="1">
        <v>2.2109999999999999</v>
      </c>
      <c r="M146" s="1">
        <v>-54.7</v>
      </c>
      <c r="N146" s="1">
        <v>1</v>
      </c>
      <c r="O146" s="1">
        <v>2.4512999999999998</v>
      </c>
      <c r="P146" s="1">
        <v>0.89549999999999996</v>
      </c>
      <c r="Q146" s="1">
        <v>0.24349999999999999</v>
      </c>
      <c r="R146" s="1">
        <v>-0.29039999999999999</v>
      </c>
      <c r="S146" s="1">
        <v>2.6100000000000002E-2</v>
      </c>
      <c r="T146" s="1">
        <v>1.9851000000000001</v>
      </c>
      <c r="U146" s="1">
        <v>2.8403999999999998</v>
      </c>
      <c r="V146" s="1">
        <v>2.0341</v>
      </c>
      <c r="W146" s="1">
        <v>100.2</v>
      </c>
      <c r="X146" s="1">
        <v>1</v>
      </c>
      <c r="Y146" s="1">
        <v>1.5111000000000001</v>
      </c>
      <c r="AA146" s="1">
        <v>0.27950000000000003</v>
      </c>
      <c r="AB146" s="1">
        <v>-0.28610000000000002</v>
      </c>
      <c r="AC146" s="1">
        <v>0.22700000000000001</v>
      </c>
      <c r="AD146" s="1">
        <v>4.1079999999999997</v>
      </c>
      <c r="AE146" s="1">
        <v>5.1882999999999999</v>
      </c>
      <c r="AF146" s="1">
        <v>2.4001999999999999</v>
      </c>
    </row>
    <row r="147" spans="1:32" x14ac:dyDescent="0.2">
      <c r="A147" s="1">
        <v>134</v>
      </c>
      <c r="B147" s="1">
        <v>1</v>
      </c>
      <c r="C147" s="1">
        <v>25.1</v>
      </c>
      <c r="D147" s="1">
        <v>1</v>
      </c>
      <c r="E147" s="1">
        <v>2.0499999999999998</v>
      </c>
      <c r="F147" s="1">
        <v>0.77969999999999995</v>
      </c>
      <c r="G147" s="1">
        <v>0.2001</v>
      </c>
      <c r="H147" s="1">
        <v>-0.37969999999999998</v>
      </c>
      <c r="I147" s="1">
        <v>1.4E-3</v>
      </c>
      <c r="J147" s="1">
        <v>3.4241000000000001</v>
      </c>
      <c r="K147" s="1">
        <v>3.9138999999999999</v>
      </c>
      <c r="L147" s="1">
        <v>2.0150999999999999</v>
      </c>
      <c r="M147" s="1">
        <v>-54.9</v>
      </c>
      <c r="N147" s="1">
        <v>1</v>
      </c>
      <c r="O147" s="1">
        <v>2.4855</v>
      </c>
      <c r="P147" s="1">
        <v>0.89510000000000001</v>
      </c>
      <c r="Q147" s="1">
        <v>6.3E-2</v>
      </c>
      <c r="R147" s="1">
        <v>-0.2177</v>
      </c>
      <c r="S147" s="1">
        <v>2.53E-2</v>
      </c>
      <c r="T147" s="1">
        <v>2.0066999999999999</v>
      </c>
      <c r="U147" s="1">
        <v>2.835</v>
      </c>
      <c r="V147" s="1">
        <v>1.8476999999999999</v>
      </c>
      <c r="W147" s="1">
        <v>100.1</v>
      </c>
      <c r="X147" s="1">
        <v>1</v>
      </c>
      <c r="Y147" s="1">
        <v>1.5407</v>
      </c>
      <c r="AA147" s="1">
        <v>0.39350000000000002</v>
      </c>
      <c r="AB147" s="1">
        <v>-0.45529999999999998</v>
      </c>
      <c r="AC147" s="1">
        <v>0.17100000000000001</v>
      </c>
      <c r="AD147" s="1">
        <v>3.99</v>
      </c>
      <c r="AE147" s="1">
        <v>5.0795000000000003</v>
      </c>
      <c r="AF147" s="1">
        <v>2.1865999999999999</v>
      </c>
    </row>
    <row r="148" spans="1:32" x14ac:dyDescent="0.2">
      <c r="A148" s="1">
        <v>135</v>
      </c>
      <c r="B148" s="1">
        <v>1</v>
      </c>
      <c r="C148" s="1">
        <v>25.1</v>
      </c>
      <c r="D148" s="1">
        <v>1</v>
      </c>
      <c r="E148" s="1">
        <v>2.0573999999999999</v>
      </c>
      <c r="F148" s="1">
        <v>0.77729999999999999</v>
      </c>
      <c r="G148" s="1">
        <v>6.1100000000000002E-2</v>
      </c>
      <c r="H148" s="1">
        <v>-0.1148</v>
      </c>
      <c r="I148" s="1">
        <v>1.5E-3</v>
      </c>
      <c r="J148" s="1">
        <v>3.5091000000000001</v>
      </c>
      <c r="K148" s="1">
        <v>3.9045999999999998</v>
      </c>
      <c r="L148" s="1">
        <v>1.9598</v>
      </c>
      <c r="M148" s="1">
        <v>-54.8</v>
      </c>
      <c r="N148" s="1">
        <v>1</v>
      </c>
      <c r="O148" s="1">
        <v>2.4849999999999999</v>
      </c>
      <c r="P148" s="1">
        <v>0.8921</v>
      </c>
      <c r="Q148" s="1">
        <v>0.1014</v>
      </c>
      <c r="R148" s="1">
        <v>-0.26079999999999998</v>
      </c>
      <c r="S148" s="1">
        <v>2.4500000000000001E-2</v>
      </c>
      <c r="T148" s="1">
        <v>1.9944</v>
      </c>
      <c r="U148" s="1">
        <v>2.8142</v>
      </c>
      <c r="V148" s="1">
        <v>1.7938000000000001</v>
      </c>
      <c r="W148" s="1">
        <v>100.7</v>
      </c>
      <c r="X148" s="1">
        <v>1</v>
      </c>
      <c r="Y148" s="1">
        <v>1.5615000000000001</v>
      </c>
      <c r="AA148" s="1">
        <v>0.19520000000000001</v>
      </c>
      <c r="AB148" s="1">
        <v>-0.44340000000000002</v>
      </c>
      <c r="AC148" s="1">
        <v>0.1676</v>
      </c>
      <c r="AD148" s="1">
        <v>4.0023999999999997</v>
      </c>
      <c r="AE148" s="1">
        <v>5.0416999999999996</v>
      </c>
      <c r="AF148" s="1">
        <v>2.1271</v>
      </c>
    </row>
    <row r="149" spans="1:32" x14ac:dyDescent="0.2">
      <c r="A149" s="1">
        <v>136</v>
      </c>
      <c r="B149" s="1">
        <v>1</v>
      </c>
      <c r="C149" s="1">
        <v>25.2</v>
      </c>
      <c r="D149" s="1">
        <v>1</v>
      </c>
      <c r="E149" s="1">
        <v>1.9867999999999999</v>
      </c>
      <c r="F149" s="1">
        <v>0.7752</v>
      </c>
      <c r="G149" s="1">
        <v>0.26040000000000002</v>
      </c>
      <c r="H149" s="1">
        <v>-0.3498</v>
      </c>
      <c r="I149" s="1">
        <v>1.1999999999999999E-3</v>
      </c>
      <c r="J149" s="1">
        <v>3.3990999999999998</v>
      </c>
      <c r="K149" s="1">
        <v>3.8753000000000002</v>
      </c>
      <c r="L149" s="1">
        <v>2.1318000000000001</v>
      </c>
      <c r="M149" s="1">
        <v>-55</v>
      </c>
      <c r="N149" s="1">
        <v>1</v>
      </c>
      <c r="O149" s="1">
        <v>2.4239000000000002</v>
      </c>
      <c r="P149" s="1">
        <v>0.89880000000000004</v>
      </c>
      <c r="Q149" s="1">
        <v>0.16969999999999999</v>
      </c>
      <c r="R149" s="1">
        <v>-9.3200000000000005E-2</v>
      </c>
      <c r="S149" s="1">
        <v>2.6100000000000002E-2</v>
      </c>
      <c r="T149" s="1">
        <v>1.9514</v>
      </c>
      <c r="U149" s="1">
        <v>2.7480000000000002</v>
      </c>
      <c r="V149" s="1">
        <v>1.9524999999999999</v>
      </c>
      <c r="W149" s="1">
        <v>100.4</v>
      </c>
      <c r="X149" s="1">
        <v>1</v>
      </c>
      <c r="Y149" s="1">
        <v>1.4337</v>
      </c>
      <c r="AA149" s="1">
        <v>0.39789999999999998</v>
      </c>
      <c r="AB149" s="1">
        <v>-0.50119999999999998</v>
      </c>
      <c r="AC149" s="1">
        <v>0.37559999999999999</v>
      </c>
      <c r="AD149" s="1">
        <v>4.1555999999999997</v>
      </c>
      <c r="AE149" s="1">
        <v>5.1658999999999997</v>
      </c>
      <c r="AF149" s="1">
        <v>2.3290999999999999</v>
      </c>
    </row>
    <row r="150" spans="1:32" x14ac:dyDescent="0.2">
      <c r="A150" s="1">
        <v>137</v>
      </c>
      <c r="B150" s="1">
        <v>1</v>
      </c>
      <c r="C150" s="1">
        <v>25.1</v>
      </c>
      <c r="D150" s="1">
        <v>1</v>
      </c>
      <c r="E150" s="1">
        <v>1.9746999999999999</v>
      </c>
      <c r="F150" s="1">
        <v>0.77449999999999997</v>
      </c>
      <c r="G150" s="1">
        <v>6.1499999999999999E-2</v>
      </c>
      <c r="H150" s="1">
        <v>-0.10050000000000001</v>
      </c>
      <c r="I150" s="1">
        <v>1.4E-3</v>
      </c>
      <c r="J150" s="1">
        <v>3.5236000000000001</v>
      </c>
      <c r="K150" s="1">
        <v>3.9217</v>
      </c>
      <c r="L150" s="1">
        <v>2.1722000000000001</v>
      </c>
      <c r="M150" s="1">
        <v>-55.1</v>
      </c>
      <c r="N150" s="1">
        <v>1</v>
      </c>
      <c r="O150" s="1">
        <v>2.3948</v>
      </c>
      <c r="P150" s="1">
        <v>0.88959999999999995</v>
      </c>
      <c r="Q150" s="1">
        <v>2.7E-2</v>
      </c>
      <c r="R150" s="1">
        <v>-7.4499999999999997E-2</v>
      </c>
      <c r="S150" s="1">
        <v>2.4899999999999999E-2</v>
      </c>
      <c r="T150" s="1">
        <v>2.0034000000000001</v>
      </c>
      <c r="U150" s="1">
        <v>2.8138999999999998</v>
      </c>
      <c r="V150" s="1">
        <v>2.0038999999999998</v>
      </c>
      <c r="W150" s="1">
        <v>100.8</v>
      </c>
      <c r="X150" s="1">
        <v>1</v>
      </c>
      <c r="Y150" s="1">
        <v>1.486</v>
      </c>
      <c r="AA150" s="1">
        <v>0.15909999999999999</v>
      </c>
      <c r="AB150" s="1">
        <v>-0.23150000000000001</v>
      </c>
      <c r="AC150" s="1">
        <v>0.1706</v>
      </c>
      <c r="AD150" s="1">
        <v>4.0787000000000004</v>
      </c>
      <c r="AE150" s="1">
        <v>5.0568999999999997</v>
      </c>
      <c r="AF150" s="1">
        <v>2.3477000000000001</v>
      </c>
    </row>
    <row r="151" spans="1:32" x14ac:dyDescent="0.2">
      <c r="A151" s="1">
        <v>138</v>
      </c>
      <c r="B151" s="1">
        <v>1</v>
      </c>
      <c r="C151" s="1">
        <v>25</v>
      </c>
      <c r="D151" s="1">
        <v>1</v>
      </c>
      <c r="E151" s="1">
        <v>2.1240999999999999</v>
      </c>
      <c r="F151" s="1">
        <v>0.78490000000000004</v>
      </c>
      <c r="G151" s="1">
        <v>0.4355</v>
      </c>
      <c r="H151" s="1">
        <v>-0.39450000000000002</v>
      </c>
      <c r="I151" s="1">
        <v>1.4E-3</v>
      </c>
      <c r="J151" s="1">
        <v>3.2551000000000001</v>
      </c>
      <c r="K151" s="1">
        <v>3.6711</v>
      </c>
      <c r="L151" s="1">
        <v>1.9673</v>
      </c>
      <c r="M151" s="1">
        <v>-55</v>
      </c>
      <c r="N151" s="1">
        <v>1</v>
      </c>
      <c r="O151" s="1">
        <v>2.3994</v>
      </c>
      <c r="P151" s="1">
        <v>0.90180000000000005</v>
      </c>
      <c r="Q151" s="1">
        <v>0.46129999999999999</v>
      </c>
      <c r="R151" s="1">
        <v>-0.39979999999999999</v>
      </c>
      <c r="S151" s="1">
        <v>2.1899999999999999E-2</v>
      </c>
      <c r="T151" s="1">
        <v>1.1739999999999999</v>
      </c>
      <c r="U151" s="1">
        <v>2.5632999999999999</v>
      </c>
      <c r="V151" s="1">
        <v>1.8002</v>
      </c>
      <c r="W151" s="1">
        <v>100.6</v>
      </c>
      <c r="X151" s="1">
        <v>1</v>
      </c>
      <c r="Y151" s="1">
        <v>1.5605</v>
      </c>
      <c r="AA151" s="1">
        <v>0.48409999999999997</v>
      </c>
      <c r="AB151" s="1">
        <v>-0.64390000000000003</v>
      </c>
      <c r="AC151" s="1">
        <v>0.19839999999999999</v>
      </c>
      <c r="AD151" s="1">
        <v>3.3521000000000001</v>
      </c>
      <c r="AE151" s="1">
        <v>4.9230999999999998</v>
      </c>
      <c r="AF151" s="1">
        <v>2.1396999999999999</v>
      </c>
    </row>
    <row r="152" spans="1:32" x14ac:dyDescent="0.2">
      <c r="A152" s="1">
        <v>139</v>
      </c>
      <c r="B152" s="1">
        <v>1</v>
      </c>
      <c r="C152" s="1">
        <v>25</v>
      </c>
      <c r="D152" s="1">
        <v>1</v>
      </c>
      <c r="E152" s="1">
        <v>2.1814</v>
      </c>
      <c r="F152" s="1">
        <v>0.78380000000000005</v>
      </c>
      <c r="G152" s="1">
        <v>0.53259999999999996</v>
      </c>
      <c r="H152" s="1">
        <v>-0.64410000000000001</v>
      </c>
      <c r="I152" s="1">
        <v>1.4E-3</v>
      </c>
      <c r="J152" s="1">
        <v>3.1539000000000001</v>
      </c>
      <c r="K152" s="1">
        <v>3.5672999999999999</v>
      </c>
      <c r="L152" s="1">
        <v>1.8097000000000001</v>
      </c>
      <c r="M152" s="1">
        <v>-55.3</v>
      </c>
      <c r="N152" s="1">
        <v>1</v>
      </c>
      <c r="O152" s="1">
        <v>2.3996</v>
      </c>
      <c r="P152" s="1">
        <v>0.90149999999999997</v>
      </c>
      <c r="Q152" s="1">
        <v>0.48730000000000001</v>
      </c>
      <c r="R152" s="1">
        <v>-0.50260000000000005</v>
      </c>
      <c r="S152" s="1">
        <v>2.1700000000000001E-2</v>
      </c>
      <c r="T152" s="1">
        <v>1.1876</v>
      </c>
      <c r="U152" s="1">
        <v>2.5747</v>
      </c>
      <c r="V152" s="1">
        <v>1.6444000000000001</v>
      </c>
      <c r="W152" s="1">
        <v>100.4</v>
      </c>
      <c r="X152" s="1">
        <v>1</v>
      </c>
      <c r="Y152" s="1">
        <v>1.6208</v>
      </c>
      <c r="AA152" s="1">
        <v>0.47960000000000003</v>
      </c>
      <c r="AB152" s="1">
        <v>-0.54820000000000002</v>
      </c>
      <c r="AC152" s="1">
        <v>0.2135</v>
      </c>
      <c r="AD152" s="1">
        <v>3.1393</v>
      </c>
      <c r="AE152" s="1">
        <v>4.8208000000000002</v>
      </c>
      <c r="AF152" s="1">
        <v>1.9756</v>
      </c>
    </row>
    <row r="153" spans="1:32" x14ac:dyDescent="0.2">
      <c r="A153" s="1">
        <v>140</v>
      </c>
      <c r="B153" s="1">
        <v>1</v>
      </c>
      <c r="C153" s="1">
        <v>24.9</v>
      </c>
      <c r="D153" s="1">
        <v>1</v>
      </c>
      <c r="E153" s="1">
        <v>2.0665</v>
      </c>
      <c r="F153" s="1">
        <v>0.78239999999999998</v>
      </c>
      <c r="G153" s="1">
        <v>0.47139999999999999</v>
      </c>
      <c r="H153" s="1">
        <v>-0.65239999999999998</v>
      </c>
      <c r="I153" s="1">
        <v>1.4E-3</v>
      </c>
      <c r="J153" s="1">
        <v>3.3359000000000001</v>
      </c>
      <c r="K153" s="1">
        <v>3.5411000000000001</v>
      </c>
      <c r="L153" s="1">
        <v>1.8458000000000001</v>
      </c>
      <c r="M153" s="1">
        <v>-55.3</v>
      </c>
      <c r="N153" s="1">
        <v>1</v>
      </c>
      <c r="O153" s="1">
        <v>2.3994</v>
      </c>
      <c r="P153" s="1">
        <v>0.9012</v>
      </c>
      <c r="Q153" s="1">
        <v>0.29849999999999999</v>
      </c>
      <c r="R153" s="1">
        <v>-0.37040000000000001</v>
      </c>
      <c r="S153" s="1">
        <v>1.9099999999999999E-2</v>
      </c>
      <c r="T153" s="1">
        <v>1.2361</v>
      </c>
      <c r="U153" s="1">
        <v>2.4529000000000001</v>
      </c>
      <c r="V153" s="1">
        <v>1.6782999999999999</v>
      </c>
      <c r="W153" s="1">
        <v>100.4</v>
      </c>
      <c r="X153" s="1">
        <v>1</v>
      </c>
      <c r="Y153" s="1">
        <v>1.5219</v>
      </c>
      <c r="AA153" s="1">
        <v>0.45989999999999998</v>
      </c>
      <c r="AB153" s="1">
        <v>-0.59319999999999995</v>
      </c>
      <c r="AC153" s="1">
        <v>0.2253</v>
      </c>
      <c r="AD153" s="1">
        <v>3.1280999999999999</v>
      </c>
      <c r="AE153" s="1">
        <v>4.7328000000000001</v>
      </c>
      <c r="AF153" s="1">
        <v>1.9710000000000001</v>
      </c>
    </row>
    <row r="154" spans="1:32" x14ac:dyDescent="0.2">
      <c r="A154" s="1">
        <v>141</v>
      </c>
      <c r="B154" s="1">
        <v>1</v>
      </c>
      <c r="C154" s="1">
        <v>25.2</v>
      </c>
      <c r="D154" s="1">
        <v>1</v>
      </c>
      <c r="E154" s="1">
        <v>1.9716</v>
      </c>
      <c r="F154" s="1">
        <v>0.77629999999999999</v>
      </c>
      <c r="G154" s="1">
        <v>0.16209999999999999</v>
      </c>
      <c r="H154" s="1">
        <v>-0.11459999999999999</v>
      </c>
      <c r="I154" s="1">
        <v>1.1999999999999999E-3</v>
      </c>
      <c r="J154" s="1">
        <v>3.4430000000000001</v>
      </c>
      <c r="K154" s="1">
        <v>3.8607</v>
      </c>
      <c r="L154" s="1">
        <v>1.9484999999999999</v>
      </c>
      <c r="M154" s="1">
        <v>-55.1</v>
      </c>
      <c r="N154" s="1">
        <v>1</v>
      </c>
      <c r="O154" s="1">
        <v>2.3679999999999999</v>
      </c>
      <c r="P154" s="1">
        <v>0.89219999999999999</v>
      </c>
      <c r="Q154" s="1">
        <v>0.19089999999999999</v>
      </c>
      <c r="R154" s="1">
        <v>-0.10970000000000001</v>
      </c>
      <c r="S154" s="1">
        <v>2.53E-2</v>
      </c>
      <c r="T154" s="1">
        <v>2.0329000000000002</v>
      </c>
      <c r="U154" s="1">
        <v>2.7965</v>
      </c>
      <c r="V154" s="1">
        <v>1.7833000000000001</v>
      </c>
      <c r="W154" s="1">
        <v>100.5</v>
      </c>
      <c r="X154" s="1">
        <v>1</v>
      </c>
      <c r="Y154" s="1">
        <v>1.5034000000000001</v>
      </c>
      <c r="AA154" s="1">
        <v>0.26869999999999999</v>
      </c>
      <c r="AB154" s="1">
        <v>-0.2979</v>
      </c>
      <c r="AC154" s="1">
        <v>0.17349999999999999</v>
      </c>
      <c r="AD154" s="1">
        <v>3.9798</v>
      </c>
      <c r="AE154" s="1">
        <v>5.0058999999999996</v>
      </c>
      <c r="AF154" s="1">
        <v>2.1166999999999998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EDB4-8275-48A4-A84E-11A5294D1FA0}">
  <dimension ref="A1:AF154"/>
  <sheetViews>
    <sheetView topLeftCell="A65" workbookViewId="0">
      <selection activeCell="J41" sqref="J41"/>
    </sheetView>
  </sheetViews>
  <sheetFormatPr defaultColWidth="9.140625" defaultRowHeight="15" x14ac:dyDescent="0.25"/>
  <sheetData>
    <row r="1" spans="1:32" s="1" customFormat="1" ht="11.25" x14ac:dyDescent="0.2">
      <c r="C1" s="1" t="s">
        <v>85</v>
      </c>
    </row>
    <row r="2" spans="1:32" s="1" customFormat="1" ht="11.25" x14ac:dyDescent="0.2"/>
    <row r="3" spans="1:32" s="2" customFormat="1" ht="11.25" x14ac:dyDescent="0.2">
      <c r="A3" s="2" t="s">
        <v>1</v>
      </c>
      <c r="B3" s="2" t="s">
        <v>86</v>
      </c>
      <c r="D3" s="2" t="s">
        <v>36</v>
      </c>
      <c r="E3" s="2" t="s">
        <v>35</v>
      </c>
    </row>
    <row r="4" spans="1:32" s="2" customFormat="1" ht="11.25" x14ac:dyDescent="0.2">
      <c r="A4" s="2" t="s">
        <v>2</v>
      </c>
      <c r="B4" s="2" t="s">
        <v>42</v>
      </c>
      <c r="D4" s="2" t="s">
        <v>34</v>
      </c>
      <c r="E4" s="2" t="s">
        <v>43</v>
      </c>
    </row>
    <row r="5" spans="1:32" s="2" customFormat="1" ht="11.25" x14ac:dyDescent="0.2">
      <c r="A5" s="2" t="s">
        <v>3</v>
      </c>
      <c r="B5" s="2" t="s">
        <v>42</v>
      </c>
      <c r="D5" s="2" t="s">
        <v>33</v>
      </c>
      <c r="E5" s="2">
        <f>COUNT(B19:B154)</f>
        <v>136</v>
      </c>
    </row>
    <row r="6" spans="1:32" s="2" customFormat="1" ht="11.25" x14ac:dyDescent="0.2">
      <c r="A6" s="2" t="s">
        <v>4</v>
      </c>
      <c r="B6" s="2" t="s">
        <v>44</v>
      </c>
      <c r="D6" s="2" t="s">
        <v>32</v>
      </c>
      <c r="E6" s="2">
        <f>SUMIF(B19:B154,1)</f>
        <v>111</v>
      </c>
    </row>
    <row r="7" spans="1:32" s="2" customFormat="1" ht="11.25" x14ac:dyDescent="0.2">
      <c r="A7" s="2" t="s">
        <v>5</v>
      </c>
      <c r="B7" s="3" t="s">
        <v>45</v>
      </c>
      <c r="D7" s="2" t="s">
        <v>31</v>
      </c>
      <c r="E7" s="2">
        <f>E5-E6</f>
        <v>25</v>
      </c>
    </row>
    <row r="8" spans="1:32" s="1" customFormat="1" ht="11.25" x14ac:dyDescent="0.2"/>
    <row r="9" spans="1:32" s="1" customFormat="1" ht="11.25" x14ac:dyDescent="0.2"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54</v>
      </c>
      <c r="L9" s="1" t="s">
        <v>55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54</v>
      </c>
      <c r="V9" s="1" t="s">
        <v>55</v>
      </c>
      <c r="W9" s="1" t="s">
        <v>46</v>
      </c>
      <c r="X9" s="1" t="s">
        <v>47</v>
      </c>
      <c r="Y9" s="1" t="s">
        <v>48</v>
      </c>
      <c r="Z9" s="4" t="s">
        <v>49</v>
      </c>
      <c r="AA9" s="1" t="s">
        <v>50</v>
      </c>
      <c r="AB9" s="1" t="s">
        <v>51</v>
      </c>
      <c r="AC9" s="1" t="s">
        <v>52</v>
      </c>
      <c r="AD9" s="1" t="s">
        <v>53</v>
      </c>
      <c r="AE9" s="1" t="s">
        <v>54</v>
      </c>
      <c r="AF9" s="1" t="s">
        <v>55</v>
      </c>
    </row>
    <row r="10" spans="1:32" s="1" customFormat="1" ht="11.25" x14ac:dyDescent="0.2">
      <c r="A10" s="2" t="s">
        <v>6</v>
      </c>
      <c r="B10" s="2" t="s">
        <v>7</v>
      </c>
      <c r="C10" s="1" t="s">
        <v>56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39</v>
      </c>
      <c r="I10" s="1" t="s">
        <v>12</v>
      </c>
      <c r="J10" s="1" t="s">
        <v>13</v>
      </c>
      <c r="K10" s="1" t="s">
        <v>30</v>
      </c>
      <c r="L10" s="1" t="s">
        <v>29</v>
      </c>
      <c r="M10" s="1" t="s">
        <v>38</v>
      </c>
      <c r="N10" s="1" t="s">
        <v>28</v>
      </c>
      <c r="O10" s="1" t="s">
        <v>27</v>
      </c>
      <c r="P10" s="1" t="s">
        <v>26</v>
      </c>
      <c r="Q10" s="1" t="s">
        <v>25</v>
      </c>
      <c r="R10" s="1" t="s">
        <v>37</v>
      </c>
      <c r="S10" s="1" t="s">
        <v>24</v>
      </c>
      <c r="T10" s="1" t="s">
        <v>23</v>
      </c>
      <c r="U10" s="1" t="s">
        <v>22</v>
      </c>
      <c r="V10" s="1" t="s">
        <v>21</v>
      </c>
      <c r="W10" s="1" t="s">
        <v>57</v>
      </c>
      <c r="X10" s="1" t="s">
        <v>58</v>
      </c>
      <c r="Y10" s="1" t="s">
        <v>59</v>
      </c>
      <c r="Z10" s="4" t="s">
        <v>26</v>
      </c>
      <c r="AA10" s="1" t="s">
        <v>60</v>
      </c>
      <c r="AB10" s="1" t="s">
        <v>61</v>
      </c>
      <c r="AC10" s="1" t="s">
        <v>62</v>
      </c>
      <c r="AD10" s="1" t="s">
        <v>63</v>
      </c>
      <c r="AE10" s="1" t="s">
        <v>64</v>
      </c>
      <c r="AF10" s="1" t="s">
        <v>65</v>
      </c>
    </row>
    <row r="11" spans="1:32" s="1" customFormat="1" ht="11.25" x14ac:dyDescent="0.2">
      <c r="D11" s="1" t="s">
        <v>66</v>
      </c>
      <c r="E11" s="1" t="s">
        <v>67</v>
      </c>
      <c r="F11" s="1" t="s">
        <v>68</v>
      </c>
      <c r="G11" s="1" t="s">
        <v>69</v>
      </c>
      <c r="H11" s="1" t="s">
        <v>69</v>
      </c>
      <c r="I11" s="1" t="s">
        <v>70</v>
      </c>
      <c r="J11" s="1" t="s">
        <v>71</v>
      </c>
      <c r="K11" s="1" t="s">
        <v>72</v>
      </c>
      <c r="N11" s="1" t="s">
        <v>73</v>
      </c>
      <c r="O11" s="1" t="s">
        <v>74</v>
      </c>
      <c r="P11" s="1" t="s">
        <v>68</v>
      </c>
      <c r="Q11" s="1" t="s">
        <v>69</v>
      </c>
      <c r="R11" s="1" t="s">
        <v>69</v>
      </c>
      <c r="S11" s="1" t="s">
        <v>70</v>
      </c>
      <c r="T11" s="1" t="s">
        <v>75</v>
      </c>
      <c r="U11" s="1" t="s">
        <v>76</v>
      </c>
      <c r="X11" s="1" t="s">
        <v>73</v>
      </c>
      <c r="Y11" s="1" t="s">
        <v>74</v>
      </c>
      <c r="Z11" s="4" t="s">
        <v>68</v>
      </c>
      <c r="AA11" s="1" t="s">
        <v>69</v>
      </c>
      <c r="AB11" s="1" t="s">
        <v>69</v>
      </c>
      <c r="AC11" s="1" t="s">
        <v>70</v>
      </c>
      <c r="AD11" s="1" t="s">
        <v>71</v>
      </c>
      <c r="AE11" s="1" t="s">
        <v>72</v>
      </c>
    </row>
    <row r="12" spans="1:32" s="1" customFormat="1" ht="11.25" x14ac:dyDescent="0.2">
      <c r="C12" s="1" t="s">
        <v>77</v>
      </c>
      <c r="D12" s="1" t="s">
        <v>78</v>
      </c>
      <c r="E12" s="1" t="s">
        <v>79</v>
      </c>
      <c r="F12" s="1" t="s">
        <v>79</v>
      </c>
      <c r="G12" s="1" t="s">
        <v>80</v>
      </c>
      <c r="H12" s="1" t="s">
        <v>80</v>
      </c>
      <c r="I12" s="1" t="s">
        <v>0</v>
      </c>
      <c r="J12" s="1" t="s">
        <v>81</v>
      </c>
      <c r="K12" s="1" t="s">
        <v>81</v>
      </c>
      <c r="L12" s="1" t="s">
        <v>82</v>
      </c>
      <c r="M12" s="1" t="s">
        <v>77</v>
      </c>
      <c r="N12" s="1" t="s">
        <v>78</v>
      </c>
      <c r="O12" s="1" t="s">
        <v>79</v>
      </c>
      <c r="P12" s="1" t="s">
        <v>79</v>
      </c>
      <c r="Q12" s="1" t="s">
        <v>80</v>
      </c>
      <c r="R12" s="1" t="s">
        <v>80</v>
      </c>
      <c r="S12" s="1" t="s">
        <v>0</v>
      </c>
      <c r="T12" s="1" t="s">
        <v>81</v>
      </c>
      <c r="U12" s="1" t="s">
        <v>81</v>
      </c>
      <c r="V12" s="1" t="s">
        <v>82</v>
      </c>
      <c r="W12" s="1" t="s">
        <v>77</v>
      </c>
      <c r="X12" s="1" t="s">
        <v>78</v>
      </c>
      <c r="Y12" s="1" t="s">
        <v>79</v>
      </c>
      <c r="Z12" s="4" t="s">
        <v>79</v>
      </c>
      <c r="AA12" s="1" t="s">
        <v>80</v>
      </c>
      <c r="AB12" s="1" t="s">
        <v>80</v>
      </c>
      <c r="AC12" s="1" t="s">
        <v>0</v>
      </c>
      <c r="AD12" s="1" t="s">
        <v>81</v>
      </c>
      <c r="AE12" s="1" t="s">
        <v>81</v>
      </c>
      <c r="AF12" s="1" t="s">
        <v>82</v>
      </c>
    </row>
    <row r="13" spans="1:32" s="1" customFormat="1" ht="11.25" x14ac:dyDescent="0.2">
      <c r="A13" s="2" t="s">
        <v>14</v>
      </c>
      <c r="C13" s="1">
        <v>28</v>
      </c>
      <c r="D13" s="1">
        <v>1.5</v>
      </c>
      <c r="E13" s="1">
        <v>2.5</v>
      </c>
      <c r="F13" s="1">
        <v>1.2</v>
      </c>
      <c r="G13" s="1">
        <v>100</v>
      </c>
      <c r="H13" s="1">
        <v>100</v>
      </c>
      <c r="I13" s="1">
        <v>1</v>
      </c>
      <c r="J13" s="1">
        <v>3.8</v>
      </c>
      <c r="K13" s="1">
        <v>5</v>
      </c>
      <c r="L13" s="1">
        <v>4.9000000000000004</v>
      </c>
      <c r="M13" s="1">
        <v>-52</v>
      </c>
      <c r="N13" s="1">
        <v>1.5</v>
      </c>
      <c r="O13" s="1">
        <v>2.5</v>
      </c>
      <c r="P13" s="1">
        <v>1.2</v>
      </c>
      <c r="Q13" s="1">
        <v>100</v>
      </c>
      <c r="R13" s="1">
        <v>100</v>
      </c>
      <c r="S13" s="1">
        <v>1</v>
      </c>
      <c r="T13" s="1">
        <v>3.8</v>
      </c>
      <c r="U13" s="1">
        <v>5</v>
      </c>
      <c r="V13" s="1">
        <v>4.9000000000000004</v>
      </c>
      <c r="W13" s="1">
        <v>103</v>
      </c>
      <c r="X13" s="1">
        <v>1.5</v>
      </c>
      <c r="Y13" s="1">
        <v>2.5</v>
      </c>
      <c r="Z13" s="4">
        <v>1.2</v>
      </c>
      <c r="AA13" s="1">
        <v>100</v>
      </c>
      <c r="AB13" s="1">
        <v>100</v>
      </c>
      <c r="AC13" s="1">
        <v>50</v>
      </c>
      <c r="AD13" s="1">
        <v>7</v>
      </c>
      <c r="AE13" s="1">
        <v>7</v>
      </c>
      <c r="AF13" s="1">
        <v>4.9000000000000004</v>
      </c>
    </row>
    <row r="14" spans="1:32" s="1" customFormat="1" ht="11.25" x14ac:dyDescent="0.2">
      <c r="A14" s="2" t="s">
        <v>16</v>
      </c>
      <c r="C14" s="1">
        <v>22</v>
      </c>
      <c r="D14" s="1">
        <v>0.5</v>
      </c>
      <c r="E14" s="1">
        <v>1.5</v>
      </c>
      <c r="F14" s="1" t="s">
        <v>15</v>
      </c>
      <c r="G14" s="1">
        <v>-100</v>
      </c>
      <c r="H14" s="1">
        <v>-100</v>
      </c>
      <c r="I14" s="1">
        <v>0</v>
      </c>
      <c r="J14" s="1">
        <v>0</v>
      </c>
      <c r="K14" s="1">
        <v>0</v>
      </c>
      <c r="L14" s="1">
        <v>0.9</v>
      </c>
      <c r="M14" s="1">
        <v>-58</v>
      </c>
      <c r="N14" s="1">
        <v>0.5</v>
      </c>
      <c r="O14" s="1">
        <v>1.5</v>
      </c>
      <c r="P14" s="1" t="s">
        <v>15</v>
      </c>
      <c r="Q14" s="1">
        <v>-100</v>
      </c>
      <c r="R14" s="1">
        <v>-100</v>
      </c>
      <c r="S14" s="1">
        <v>0</v>
      </c>
      <c r="T14" s="1">
        <v>0</v>
      </c>
      <c r="U14" s="1">
        <v>0</v>
      </c>
      <c r="V14" s="1">
        <v>0.9</v>
      </c>
      <c r="W14" s="1">
        <v>97</v>
      </c>
      <c r="X14" s="1">
        <v>0.5</v>
      </c>
      <c r="Y14" s="1">
        <v>1</v>
      </c>
      <c r="Z14" s="4" t="s">
        <v>15</v>
      </c>
      <c r="AA14" s="1">
        <v>-100</v>
      </c>
      <c r="AB14" s="1">
        <v>-100</v>
      </c>
      <c r="AC14" s="1">
        <v>0</v>
      </c>
      <c r="AD14" s="1">
        <v>0</v>
      </c>
      <c r="AE14" s="1">
        <v>0</v>
      </c>
      <c r="AF14" s="1">
        <v>0.9</v>
      </c>
    </row>
    <row r="15" spans="1:32" s="2" customFormat="1" ht="11.25" x14ac:dyDescent="0.2">
      <c r="A15" s="2" t="s">
        <v>17</v>
      </c>
      <c r="C15" s="2">
        <f t="shared" ref="C15:AF15" si="0">MIN(C19:C154)</f>
        <v>24.8</v>
      </c>
      <c r="D15" s="2">
        <f t="shared" si="0"/>
        <v>1</v>
      </c>
      <c r="E15" s="2">
        <f t="shared" si="0"/>
        <v>1.9098999999999999</v>
      </c>
      <c r="F15" s="2">
        <f t="shared" si="0"/>
        <v>0.77310000000000001</v>
      </c>
      <c r="G15" s="2">
        <f t="shared" si="0"/>
        <v>0.30349999999999999</v>
      </c>
      <c r="H15" s="2">
        <f t="shared" si="0"/>
        <v>-0.80720000000000003</v>
      </c>
      <c r="I15" s="2">
        <f t="shared" si="0"/>
        <v>5.0000000000000001E-4</v>
      </c>
      <c r="J15" s="2">
        <f t="shared" si="0"/>
        <v>3.2725</v>
      </c>
      <c r="K15" s="2">
        <f t="shared" si="0"/>
        <v>3.605</v>
      </c>
      <c r="L15" s="2">
        <f t="shared" si="0"/>
        <v>1.661</v>
      </c>
      <c r="M15" s="2">
        <f t="shared" si="0"/>
        <v>-55.4</v>
      </c>
      <c r="N15" s="2">
        <f t="shared" si="0"/>
        <v>1</v>
      </c>
      <c r="O15" s="2">
        <f t="shared" si="0"/>
        <v>2.3102999999999998</v>
      </c>
      <c r="P15" s="2">
        <f t="shared" si="0"/>
        <v>0.88919999999999999</v>
      </c>
      <c r="Q15" s="2">
        <f t="shared" si="0"/>
        <v>0.20949999999999999</v>
      </c>
      <c r="R15" s="2">
        <f t="shared" si="0"/>
        <v>-0.7873</v>
      </c>
      <c r="S15" s="2">
        <f t="shared" si="0"/>
        <v>1.7000000000000001E-2</v>
      </c>
      <c r="T15" s="2">
        <f t="shared" si="0"/>
        <v>1.2362</v>
      </c>
      <c r="U15" s="2">
        <f t="shared" si="0"/>
        <v>2.5438999999999998</v>
      </c>
      <c r="V15" s="2">
        <f t="shared" si="0"/>
        <v>1.5106999999999999</v>
      </c>
      <c r="W15" s="2">
        <f t="shared" si="0"/>
        <v>99.8</v>
      </c>
      <c r="X15" s="2">
        <f t="shared" si="0"/>
        <v>1</v>
      </c>
      <c r="Y15" s="2">
        <f t="shared" si="0"/>
        <v>1.3974</v>
      </c>
      <c r="AA15" s="2">
        <f t="shared" si="0"/>
        <v>0.4526</v>
      </c>
      <c r="AB15" s="2">
        <f t="shared" si="0"/>
        <v>-1.4864999999999999</v>
      </c>
      <c r="AC15" s="2">
        <f t="shared" si="0"/>
        <v>7.1900000000000006E-2</v>
      </c>
      <c r="AD15" s="2">
        <f t="shared" si="0"/>
        <v>3.3107000000000002</v>
      </c>
      <c r="AE15" s="2">
        <f t="shared" si="0"/>
        <v>4.843</v>
      </c>
      <c r="AF15" s="2">
        <f t="shared" si="0"/>
        <v>1.8095000000000001</v>
      </c>
    </row>
    <row r="16" spans="1:32" s="2" customFormat="1" ht="11.25" x14ac:dyDescent="0.2">
      <c r="A16" s="2" t="s">
        <v>18</v>
      </c>
      <c r="C16" s="2">
        <f t="shared" ref="C16:AF16" si="1">MAX(C19:C154)</f>
        <v>25.2</v>
      </c>
      <c r="D16" s="2">
        <f t="shared" si="1"/>
        <v>1</v>
      </c>
      <c r="E16" s="2">
        <f t="shared" si="1"/>
        <v>2.3054000000000001</v>
      </c>
      <c r="F16" s="2">
        <f t="shared" si="1"/>
        <v>0.79139999999999999</v>
      </c>
      <c r="G16" s="2">
        <f t="shared" si="1"/>
        <v>0.69620000000000004</v>
      </c>
      <c r="H16" s="2">
        <f t="shared" si="1"/>
        <v>-0.28760000000000002</v>
      </c>
      <c r="I16" s="2">
        <f t="shared" si="1"/>
        <v>2.2000000000000001E-3</v>
      </c>
      <c r="J16" s="2">
        <f t="shared" si="1"/>
        <v>3.5249000000000001</v>
      </c>
      <c r="K16" s="2">
        <f t="shared" si="1"/>
        <v>4.4965999999999999</v>
      </c>
      <c r="L16" s="2">
        <f t="shared" si="1"/>
        <v>2.3380999999999998</v>
      </c>
      <c r="M16" s="2">
        <f t="shared" si="1"/>
        <v>-54.5</v>
      </c>
      <c r="N16" s="2">
        <f t="shared" si="1"/>
        <v>1</v>
      </c>
      <c r="O16" s="2">
        <f t="shared" si="1"/>
        <v>2.7946</v>
      </c>
      <c r="P16" s="2">
        <f t="shared" si="1"/>
        <v>0.90510000000000002</v>
      </c>
      <c r="Q16" s="2">
        <f t="shared" si="1"/>
        <v>0.65590000000000004</v>
      </c>
      <c r="R16" s="2">
        <f t="shared" si="1"/>
        <v>-0.2447</v>
      </c>
      <c r="S16" s="2">
        <f t="shared" si="1"/>
        <v>2.6700000000000002E-2</v>
      </c>
      <c r="T16" s="2">
        <f t="shared" si="1"/>
        <v>2.0747</v>
      </c>
      <c r="U16" s="2">
        <f t="shared" si="1"/>
        <v>3.4390999999999998</v>
      </c>
      <c r="V16" s="2">
        <f t="shared" si="1"/>
        <v>2.1638999999999999</v>
      </c>
      <c r="W16" s="2">
        <f t="shared" si="1"/>
        <v>100.5</v>
      </c>
      <c r="X16" s="2">
        <f t="shared" si="1"/>
        <v>1</v>
      </c>
      <c r="Y16" s="2">
        <f t="shared" si="1"/>
        <v>1.7358</v>
      </c>
      <c r="AA16" s="2">
        <f t="shared" si="1"/>
        <v>1.222</v>
      </c>
      <c r="AB16" s="2">
        <f t="shared" si="1"/>
        <v>-0.63239999999999996</v>
      </c>
      <c r="AC16" s="2">
        <f t="shared" si="1"/>
        <v>0.27429999999999999</v>
      </c>
      <c r="AD16" s="2">
        <f t="shared" si="1"/>
        <v>4.3624999999999998</v>
      </c>
      <c r="AE16" s="2">
        <f t="shared" si="1"/>
        <v>5.7409999999999997</v>
      </c>
      <c r="AF16" s="2">
        <f t="shared" si="1"/>
        <v>2.528</v>
      </c>
    </row>
    <row r="17" spans="1:32" s="2" customFormat="1" ht="11.25" x14ac:dyDescent="0.2">
      <c r="A17" s="2" t="s">
        <v>19</v>
      </c>
      <c r="C17" s="2">
        <f t="shared" ref="C17:AF17" si="2">AVERAGE(C19:C154)</f>
        <v>24.977205882352948</v>
      </c>
      <c r="D17" s="2">
        <f t="shared" si="2"/>
        <v>1</v>
      </c>
      <c r="E17" s="2">
        <f t="shared" si="2"/>
        <v>2.0196470588235287</v>
      </c>
      <c r="F17" s="2">
        <f t="shared" si="2"/>
        <v>0.77905073529411795</v>
      </c>
      <c r="G17" s="2">
        <f t="shared" si="2"/>
        <v>0.51034632352941167</v>
      </c>
      <c r="H17" s="2">
        <f t="shared" si="2"/>
        <v>-0.60671617647058851</v>
      </c>
      <c r="I17" s="2">
        <f t="shared" si="2"/>
        <v>1.594117647058824E-3</v>
      </c>
      <c r="J17" s="2">
        <f t="shared" si="2"/>
        <v>3.4306705882352952</v>
      </c>
      <c r="K17" s="2">
        <f t="shared" si="2"/>
        <v>3.8915411764705898</v>
      </c>
      <c r="L17" s="2">
        <f t="shared" si="2"/>
        <v>2.055646323529412</v>
      </c>
      <c r="M17" s="2">
        <f t="shared" si="2"/>
        <v>-55.180882352941161</v>
      </c>
      <c r="N17" s="2">
        <f t="shared" si="2"/>
        <v>1</v>
      </c>
      <c r="O17" s="2">
        <f t="shared" si="2"/>
        <v>2.4483948529411763</v>
      </c>
      <c r="P17" s="2">
        <f t="shared" si="2"/>
        <v>0.89683529411764706</v>
      </c>
      <c r="Q17" s="2">
        <f t="shared" si="2"/>
        <v>0.4568095588235293</v>
      </c>
      <c r="R17" s="2">
        <f t="shared" si="2"/>
        <v>-0.55046911764705886</v>
      </c>
      <c r="S17" s="2">
        <f t="shared" si="2"/>
        <v>2.0827205882352939E-2</v>
      </c>
      <c r="T17" s="2">
        <f t="shared" si="2"/>
        <v>1.9410463235294111</v>
      </c>
      <c r="U17" s="2">
        <f t="shared" si="2"/>
        <v>2.8193698529411773</v>
      </c>
      <c r="V17" s="2">
        <f t="shared" si="2"/>
        <v>1.8867029411764704</v>
      </c>
      <c r="W17" s="2">
        <f t="shared" si="2"/>
        <v>100.21029411764704</v>
      </c>
      <c r="X17" s="2">
        <f t="shared" si="2"/>
        <v>1</v>
      </c>
      <c r="Y17" s="2">
        <f t="shared" si="2"/>
        <v>1.5085882352941176</v>
      </c>
      <c r="AA17" s="2">
        <f t="shared" si="2"/>
        <v>0.67495955882352976</v>
      </c>
      <c r="AB17" s="2">
        <f t="shared" si="2"/>
        <v>-0.8891029411764706</v>
      </c>
      <c r="AC17" s="2">
        <f t="shared" si="2"/>
        <v>0.20979338235294115</v>
      </c>
      <c r="AD17" s="2">
        <f t="shared" si="2"/>
        <v>4.0297845588235299</v>
      </c>
      <c r="AE17" s="2">
        <f t="shared" si="2"/>
        <v>5.0999536764705882</v>
      </c>
      <c r="AF17" s="2">
        <f t="shared" si="2"/>
        <v>2.231723529411763</v>
      </c>
    </row>
    <row r="18" spans="1:32" s="2" customFormat="1" ht="11.25" x14ac:dyDescent="0.2">
      <c r="A18" s="2" t="s">
        <v>20</v>
      </c>
      <c r="C18" s="2">
        <f t="shared" ref="C18:AF18" si="3">STDEV(C19:C154)</f>
        <v>6.8817430785786532E-2</v>
      </c>
      <c r="D18" s="2">
        <f t="shared" si="3"/>
        <v>0</v>
      </c>
      <c r="E18" s="2">
        <f t="shared" si="3"/>
        <v>7.9532590982077545E-2</v>
      </c>
      <c r="F18" s="2">
        <f t="shared" si="3"/>
        <v>4.3017652935188003E-3</v>
      </c>
      <c r="G18" s="2">
        <f t="shared" si="3"/>
        <v>0.11618103045779642</v>
      </c>
      <c r="H18" s="2">
        <f t="shared" si="3"/>
        <v>0.14320511537552155</v>
      </c>
      <c r="I18" s="2">
        <f t="shared" si="3"/>
        <v>2.1731175962533557E-4</v>
      </c>
      <c r="J18" s="2">
        <f t="shared" si="3"/>
        <v>4.7337989000530864E-2</v>
      </c>
      <c r="K18" s="2">
        <f t="shared" si="3"/>
        <v>0.13239334070227765</v>
      </c>
      <c r="L18" s="2">
        <f t="shared" si="3"/>
        <v>0.17263253026269978</v>
      </c>
      <c r="M18" s="2">
        <f t="shared" si="3"/>
        <v>0.16398496131696402</v>
      </c>
      <c r="N18" s="2">
        <f t="shared" si="3"/>
        <v>0</v>
      </c>
      <c r="O18" s="2">
        <f t="shared" si="3"/>
        <v>9.2125092347189602E-2</v>
      </c>
      <c r="P18" s="2">
        <f t="shared" si="3"/>
        <v>2.5682543260402372E-3</v>
      </c>
      <c r="Q18" s="2">
        <f t="shared" si="3"/>
        <v>0.11856556672008875</v>
      </c>
      <c r="R18" s="2">
        <f t="shared" si="3"/>
        <v>0.13933761264811043</v>
      </c>
      <c r="S18" s="2">
        <f t="shared" si="3"/>
        <v>1.4706243023899592E-3</v>
      </c>
      <c r="T18" s="2">
        <f t="shared" si="3"/>
        <v>0.11460445399404129</v>
      </c>
      <c r="U18" s="2">
        <f t="shared" si="3"/>
        <v>0.13955087712603195</v>
      </c>
      <c r="V18" s="2">
        <f t="shared" si="3"/>
        <v>0.16653124540154354</v>
      </c>
      <c r="W18" s="2">
        <f t="shared" si="3"/>
        <v>0.13785629219761852</v>
      </c>
      <c r="X18" s="2">
        <f t="shared" si="3"/>
        <v>0</v>
      </c>
      <c r="Y18" s="2">
        <f t="shared" si="3"/>
        <v>7.5728687317215992E-2</v>
      </c>
      <c r="AA18" s="2">
        <f t="shared" si="3"/>
        <v>0.1355671009903015</v>
      </c>
      <c r="AB18" s="2">
        <f t="shared" si="3"/>
        <v>0.15345980240521756</v>
      </c>
      <c r="AC18" s="2">
        <f t="shared" si="3"/>
        <v>4.0732762684138842E-2</v>
      </c>
      <c r="AD18" s="2">
        <f t="shared" si="3"/>
        <v>0.13422945577197634</v>
      </c>
      <c r="AE18" s="2">
        <f t="shared" si="3"/>
        <v>0.1223131971972185</v>
      </c>
      <c r="AF18" s="2">
        <f t="shared" si="3"/>
        <v>0.18191178987112858</v>
      </c>
    </row>
    <row r="19" spans="1:32" s="1" customFormat="1" ht="11.25" x14ac:dyDescent="0.2">
      <c r="A19" s="1">
        <v>1</v>
      </c>
      <c r="B19" s="1">
        <v>1</v>
      </c>
      <c r="C19" s="1">
        <v>25</v>
      </c>
      <c r="D19" s="1">
        <v>1</v>
      </c>
      <c r="E19" s="1">
        <v>1.9278</v>
      </c>
      <c r="F19" s="1">
        <v>0.77580000000000005</v>
      </c>
      <c r="G19" s="1">
        <v>0.47770000000000001</v>
      </c>
      <c r="H19" s="1">
        <v>-0.49819999999999998</v>
      </c>
      <c r="I19" s="1">
        <v>1.2999999999999999E-3</v>
      </c>
      <c r="J19" s="1">
        <v>3.5243000000000002</v>
      </c>
      <c r="K19" s="1">
        <v>3.8753000000000002</v>
      </c>
      <c r="L19" s="1">
        <v>2.2050999999999998</v>
      </c>
      <c r="M19" s="1">
        <v>-54.7</v>
      </c>
      <c r="N19" s="1">
        <v>1</v>
      </c>
      <c r="O19" s="1">
        <v>2.3589000000000002</v>
      </c>
      <c r="P19" s="1">
        <v>0.89359999999999995</v>
      </c>
      <c r="Q19" s="1">
        <v>0.51290000000000002</v>
      </c>
      <c r="R19" s="1">
        <v>-0.69640000000000002</v>
      </c>
      <c r="S19" s="1">
        <v>1.7000000000000001E-2</v>
      </c>
      <c r="T19" s="1">
        <v>2.0209999999999999</v>
      </c>
      <c r="U19" s="1">
        <v>2.7591000000000001</v>
      </c>
      <c r="V19" s="1">
        <v>2.0318000000000001</v>
      </c>
      <c r="W19" s="1">
        <v>100.3</v>
      </c>
      <c r="X19" s="1">
        <v>1</v>
      </c>
      <c r="Y19" s="1">
        <v>1.4093</v>
      </c>
      <c r="AA19" s="1">
        <v>0.71609999999999996</v>
      </c>
      <c r="AB19" s="1">
        <v>-0.97160000000000002</v>
      </c>
      <c r="AC19" s="1">
        <v>0.27429999999999999</v>
      </c>
      <c r="AD19" s="1">
        <v>4.0738000000000003</v>
      </c>
      <c r="AE19" s="1">
        <v>5.0659000000000001</v>
      </c>
      <c r="AF19" s="1">
        <v>2.3856000000000002</v>
      </c>
    </row>
    <row r="20" spans="1:32" s="1" customFormat="1" ht="11.25" x14ac:dyDescent="0.2">
      <c r="A20" s="1">
        <v>2</v>
      </c>
      <c r="B20" s="1">
        <v>15</v>
      </c>
      <c r="C20" s="1">
        <v>25</v>
      </c>
      <c r="D20" s="1">
        <v>1</v>
      </c>
      <c r="E20" s="1">
        <v>2.0790999999999999</v>
      </c>
      <c r="F20" s="1">
        <v>0.78210000000000002</v>
      </c>
      <c r="G20" s="1">
        <v>0.4279</v>
      </c>
      <c r="H20" s="1">
        <v>-0.3891</v>
      </c>
      <c r="I20" s="1">
        <v>5.0000000000000001E-4</v>
      </c>
      <c r="J20" s="1">
        <v>3.4173</v>
      </c>
      <c r="K20" s="1">
        <v>3.742</v>
      </c>
      <c r="L20" s="1">
        <v>1.9887999999999999</v>
      </c>
      <c r="M20" s="1">
        <v>-54.6</v>
      </c>
      <c r="N20" s="1">
        <v>1</v>
      </c>
      <c r="O20" s="1">
        <v>2.5306999999999999</v>
      </c>
      <c r="P20" s="1">
        <v>0.89810000000000001</v>
      </c>
      <c r="Q20" s="1">
        <v>0.3609</v>
      </c>
      <c r="R20" s="1">
        <v>-0.40920000000000001</v>
      </c>
      <c r="S20" s="1">
        <v>2.0799999999999999E-2</v>
      </c>
      <c r="T20" s="1">
        <v>1.3459000000000001</v>
      </c>
      <c r="U20" s="1">
        <v>2.6337999999999999</v>
      </c>
      <c r="V20" s="1">
        <v>1.8212999999999999</v>
      </c>
      <c r="W20" s="1">
        <v>100.4</v>
      </c>
      <c r="X20" s="1">
        <v>1</v>
      </c>
      <c r="Y20" s="1">
        <v>1.5411999999999999</v>
      </c>
      <c r="AA20" s="1">
        <v>1.0739000000000001</v>
      </c>
      <c r="AB20" s="1">
        <v>-1.4221999999999999</v>
      </c>
      <c r="AC20" s="1">
        <v>0.21690000000000001</v>
      </c>
      <c r="AD20" s="1">
        <v>3.3591000000000002</v>
      </c>
      <c r="AE20" s="1">
        <v>4.8643000000000001</v>
      </c>
      <c r="AF20" s="1">
        <v>2.1678999999999999</v>
      </c>
    </row>
    <row r="21" spans="1:32" s="1" customFormat="1" ht="11.25" x14ac:dyDescent="0.2">
      <c r="A21" s="1">
        <v>3</v>
      </c>
      <c r="B21" s="1">
        <v>1</v>
      </c>
      <c r="C21" s="1">
        <v>25.1</v>
      </c>
      <c r="D21" s="1">
        <v>1</v>
      </c>
      <c r="E21" s="1">
        <v>1.9886999999999999</v>
      </c>
      <c r="F21" s="1">
        <v>0.77939999999999998</v>
      </c>
      <c r="G21" s="1">
        <v>0.64480000000000004</v>
      </c>
      <c r="H21" s="1">
        <v>-0.75419999999999998</v>
      </c>
      <c r="I21" s="1">
        <v>1.6000000000000001E-3</v>
      </c>
      <c r="J21" s="1">
        <v>3.4186999999999999</v>
      </c>
      <c r="K21" s="1">
        <v>3.8273000000000001</v>
      </c>
      <c r="L21" s="1">
        <v>1.9542999999999999</v>
      </c>
      <c r="M21" s="1">
        <v>-55.3</v>
      </c>
      <c r="N21" s="1">
        <v>1</v>
      </c>
      <c r="O21" s="1">
        <v>2.4123000000000001</v>
      </c>
      <c r="P21" s="1">
        <v>0.89770000000000005</v>
      </c>
      <c r="Q21" s="1">
        <v>0.36849999999999999</v>
      </c>
      <c r="R21" s="1">
        <v>-0.56379999999999997</v>
      </c>
      <c r="S21" s="1">
        <v>1.8599999999999998E-2</v>
      </c>
      <c r="T21" s="1">
        <v>2.0344000000000002</v>
      </c>
      <c r="U21" s="1">
        <v>2.7559</v>
      </c>
      <c r="V21" s="1">
        <v>1.7688999999999999</v>
      </c>
      <c r="W21" s="1">
        <v>100.3</v>
      </c>
      <c r="X21" s="1">
        <v>1</v>
      </c>
      <c r="Y21" s="1">
        <v>1.4763999999999999</v>
      </c>
      <c r="AA21" s="1">
        <v>0.78439999999999999</v>
      </c>
      <c r="AB21" s="1">
        <v>-0.92290000000000005</v>
      </c>
      <c r="AC21" s="1">
        <v>0.21679999999999999</v>
      </c>
      <c r="AD21" s="1">
        <v>4.0102000000000002</v>
      </c>
      <c r="AE21" s="1">
        <v>4.9870999999999999</v>
      </c>
      <c r="AF21" s="1">
        <v>2.1332</v>
      </c>
    </row>
    <row r="22" spans="1:32" s="1" customFormat="1" ht="11.25" x14ac:dyDescent="0.2">
      <c r="A22" s="1">
        <v>4</v>
      </c>
      <c r="B22" s="1">
        <v>1</v>
      </c>
      <c r="C22" s="1">
        <v>24.9</v>
      </c>
      <c r="D22" s="1">
        <v>1</v>
      </c>
      <c r="E22" s="1">
        <v>2.0463</v>
      </c>
      <c r="F22" s="1">
        <v>0.78049999999999997</v>
      </c>
      <c r="G22" s="1">
        <v>0.66200000000000003</v>
      </c>
      <c r="H22" s="1">
        <v>-0.7631</v>
      </c>
      <c r="I22" s="1">
        <v>1.6000000000000001E-3</v>
      </c>
      <c r="J22" s="1">
        <v>3.4289000000000001</v>
      </c>
      <c r="K22" s="1">
        <v>3.8523999999999998</v>
      </c>
      <c r="L22" s="1">
        <v>1.9273</v>
      </c>
      <c r="M22" s="1">
        <v>-55.3</v>
      </c>
      <c r="N22" s="1">
        <v>1</v>
      </c>
      <c r="O22" s="1">
        <v>2.4756</v>
      </c>
      <c r="P22" s="1">
        <v>0.89829999999999999</v>
      </c>
      <c r="Q22" s="1">
        <v>0.40889999999999999</v>
      </c>
      <c r="R22" s="1">
        <v>-0.46970000000000001</v>
      </c>
      <c r="S22" s="1">
        <v>1.8700000000000001E-2</v>
      </c>
      <c r="T22" s="1">
        <v>1.9258</v>
      </c>
      <c r="U22" s="1">
        <v>2.7667000000000002</v>
      </c>
      <c r="V22" s="1">
        <v>1.7611000000000001</v>
      </c>
      <c r="W22" s="1">
        <v>100</v>
      </c>
      <c r="X22" s="1">
        <v>1</v>
      </c>
      <c r="Y22" s="1">
        <v>1.5258</v>
      </c>
      <c r="AA22" s="1">
        <v>0.59619999999999995</v>
      </c>
      <c r="AB22" s="1">
        <v>-0.68300000000000005</v>
      </c>
      <c r="AC22" s="1">
        <v>0.22120000000000001</v>
      </c>
      <c r="AD22" s="1">
        <v>4.0418000000000003</v>
      </c>
      <c r="AE22" s="1">
        <v>5.0621999999999998</v>
      </c>
      <c r="AF22" s="1">
        <v>2.0996000000000001</v>
      </c>
    </row>
    <row r="23" spans="1:32" s="1" customFormat="1" ht="11.25" x14ac:dyDescent="0.2">
      <c r="A23" s="1">
        <v>5</v>
      </c>
      <c r="B23" s="1">
        <v>1</v>
      </c>
      <c r="C23" s="1">
        <v>24.9</v>
      </c>
      <c r="D23" s="1">
        <v>1</v>
      </c>
      <c r="E23" s="1">
        <v>1.9131</v>
      </c>
      <c r="F23" s="1">
        <v>0.77370000000000005</v>
      </c>
      <c r="G23" s="1">
        <v>0.60129999999999995</v>
      </c>
      <c r="H23" s="1">
        <v>-0.76980000000000004</v>
      </c>
      <c r="I23" s="1">
        <v>1.5E-3</v>
      </c>
      <c r="J23" s="1">
        <v>3.4422000000000001</v>
      </c>
      <c r="K23" s="1">
        <v>3.8111999999999999</v>
      </c>
      <c r="L23" s="1">
        <v>2.3025000000000002</v>
      </c>
      <c r="M23" s="1">
        <v>-55.2</v>
      </c>
      <c r="N23" s="1">
        <v>1</v>
      </c>
      <c r="O23" s="1">
        <v>2.3317999999999999</v>
      </c>
      <c r="P23" s="1">
        <v>0.89439999999999997</v>
      </c>
      <c r="Q23" s="1">
        <v>0.39069999999999999</v>
      </c>
      <c r="R23" s="1">
        <v>-0.46539999999999998</v>
      </c>
      <c r="S23" s="1">
        <v>2.0199999999999999E-2</v>
      </c>
      <c r="T23" s="1">
        <v>1.9772000000000001</v>
      </c>
      <c r="U23" s="1">
        <v>2.7286000000000001</v>
      </c>
      <c r="V23" s="1">
        <v>2.1208999999999998</v>
      </c>
      <c r="W23" s="1">
        <v>100.1</v>
      </c>
      <c r="X23" s="1">
        <v>1</v>
      </c>
      <c r="Y23" s="1">
        <v>1.4064000000000001</v>
      </c>
      <c r="AA23" s="1">
        <v>0.7369</v>
      </c>
      <c r="AB23" s="1">
        <v>-0.91220000000000001</v>
      </c>
      <c r="AC23" s="1">
        <v>0.23910000000000001</v>
      </c>
      <c r="AD23" s="1">
        <v>4.1519000000000004</v>
      </c>
      <c r="AE23" s="1">
        <v>5.0915999999999997</v>
      </c>
      <c r="AF23" s="1">
        <v>2.4908999999999999</v>
      </c>
    </row>
    <row r="24" spans="1:32" s="1" customFormat="1" ht="11.25" x14ac:dyDescent="0.2">
      <c r="A24" s="1">
        <v>6</v>
      </c>
      <c r="B24" s="1">
        <v>1</v>
      </c>
      <c r="C24" s="1">
        <v>24.9</v>
      </c>
      <c r="D24" s="1">
        <v>1</v>
      </c>
      <c r="E24" s="1">
        <v>2.0485000000000002</v>
      </c>
      <c r="F24" s="1">
        <v>0.78190000000000004</v>
      </c>
      <c r="G24" s="1">
        <v>0.64059999999999995</v>
      </c>
      <c r="H24" s="1">
        <v>-0.64810000000000001</v>
      </c>
      <c r="I24" s="1">
        <v>1.4E-3</v>
      </c>
      <c r="J24" s="1">
        <v>3.3818999999999999</v>
      </c>
      <c r="K24" s="1">
        <v>3.8603999999999998</v>
      </c>
      <c r="L24" s="1">
        <v>1.8076000000000001</v>
      </c>
      <c r="M24" s="1">
        <v>-55.3</v>
      </c>
      <c r="N24" s="1">
        <v>1</v>
      </c>
      <c r="O24" s="1">
        <v>2.4792999999999998</v>
      </c>
      <c r="P24" s="1">
        <v>0.89880000000000004</v>
      </c>
      <c r="Q24" s="1">
        <v>0.64510000000000001</v>
      </c>
      <c r="R24" s="1">
        <v>-0.70920000000000005</v>
      </c>
      <c r="S24" s="1">
        <v>2.1000000000000001E-2</v>
      </c>
      <c r="T24" s="1">
        <v>1.9354</v>
      </c>
      <c r="U24" s="1">
        <v>2.7808999999999999</v>
      </c>
      <c r="V24" s="1">
        <v>1.6486000000000001</v>
      </c>
      <c r="W24" s="1">
        <v>100.2</v>
      </c>
      <c r="X24" s="1">
        <v>1</v>
      </c>
      <c r="Y24" s="1">
        <v>1.5308999999999999</v>
      </c>
      <c r="AA24" s="1">
        <v>0.7671</v>
      </c>
      <c r="AB24" s="1">
        <v>-0.94989999999999997</v>
      </c>
      <c r="AC24" s="1">
        <v>0.21590000000000001</v>
      </c>
      <c r="AD24" s="1">
        <v>3.9889000000000001</v>
      </c>
      <c r="AE24" s="1">
        <v>5.0407999999999999</v>
      </c>
      <c r="AF24" s="1">
        <v>1.9755</v>
      </c>
    </row>
    <row r="25" spans="1:32" s="1" customFormat="1" ht="11.25" x14ac:dyDescent="0.2">
      <c r="A25" s="1">
        <v>7</v>
      </c>
      <c r="B25" s="1">
        <v>1</v>
      </c>
      <c r="C25" s="1">
        <v>24.9</v>
      </c>
      <c r="D25" s="1">
        <v>1</v>
      </c>
      <c r="E25" s="1">
        <v>1.9240999999999999</v>
      </c>
      <c r="F25" s="1">
        <v>0.77400000000000002</v>
      </c>
      <c r="G25" s="1">
        <v>0.66410000000000002</v>
      </c>
      <c r="H25" s="1">
        <v>-0.77359999999999995</v>
      </c>
      <c r="I25" s="1">
        <v>1.5E-3</v>
      </c>
      <c r="J25" s="1">
        <v>3.4521999999999999</v>
      </c>
      <c r="K25" s="1">
        <v>3.7850999999999999</v>
      </c>
      <c r="L25" s="1">
        <v>2.2355</v>
      </c>
      <c r="M25" s="1">
        <v>-55.3</v>
      </c>
      <c r="N25" s="1">
        <v>1</v>
      </c>
      <c r="O25" s="1">
        <v>2.3506999999999998</v>
      </c>
      <c r="P25" s="1">
        <v>0.89419999999999999</v>
      </c>
      <c r="Q25" s="1">
        <v>0.43809999999999999</v>
      </c>
      <c r="R25" s="1">
        <v>-0.44529999999999997</v>
      </c>
      <c r="S25" s="1">
        <v>0.02</v>
      </c>
      <c r="T25" s="1">
        <v>1.9686999999999999</v>
      </c>
      <c r="U25" s="1">
        <v>2.7096</v>
      </c>
      <c r="V25" s="1">
        <v>2.0598000000000001</v>
      </c>
      <c r="W25" s="1">
        <v>100.1</v>
      </c>
      <c r="X25" s="1">
        <v>1</v>
      </c>
      <c r="Y25" s="1">
        <v>1.4148000000000001</v>
      </c>
      <c r="AA25" s="1">
        <v>0.53159999999999996</v>
      </c>
      <c r="AB25" s="1">
        <v>-0.76780000000000004</v>
      </c>
      <c r="AC25" s="1">
        <v>0.23710000000000001</v>
      </c>
      <c r="AD25" s="1">
        <v>4.0792000000000002</v>
      </c>
      <c r="AE25" s="1">
        <v>5.0400999999999998</v>
      </c>
      <c r="AF25" s="1">
        <v>2.4216000000000002</v>
      </c>
    </row>
    <row r="26" spans="1:32" s="1" customFormat="1" ht="11.25" x14ac:dyDescent="0.2">
      <c r="A26" s="1">
        <v>8</v>
      </c>
      <c r="B26" s="1">
        <v>1</v>
      </c>
      <c r="C26" s="1">
        <v>25</v>
      </c>
      <c r="D26" s="1">
        <v>1</v>
      </c>
      <c r="E26" s="1">
        <v>1.9761</v>
      </c>
      <c r="F26" s="1">
        <v>0.78239999999999998</v>
      </c>
      <c r="G26" s="1">
        <v>0.50690000000000002</v>
      </c>
      <c r="H26" s="1">
        <v>-0.51639999999999997</v>
      </c>
      <c r="I26" s="1">
        <v>2.0999999999999999E-3</v>
      </c>
      <c r="J26" s="1">
        <v>3.5083000000000002</v>
      </c>
      <c r="K26" s="1">
        <v>4.0968999999999998</v>
      </c>
      <c r="L26" s="1">
        <v>2.0234000000000001</v>
      </c>
      <c r="M26" s="1">
        <v>-55.3</v>
      </c>
      <c r="N26" s="1">
        <v>1</v>
      </c>
      <c r="O26" s="1">
        <v>2.3881000000000001</v>
      </c>
      <c r="P26" s="1">
        <v>0.89959999999999996</v>
      </c>
      <c r="Q26" s="1">
        <v>0.44230000000000003</v>
      </c>
      <c r="R26" s="1">
        <v>-0.6512</v>
      </c>
      <c r="S26" s="1">
        <v>1.9199999999999998E-2</v>
      </c>
      <c r="T26" s="1">
        <v>2.0246</v>
      </c>
      <c r="U26" s="1">
        <v>3.0516999999999999</v>
      </c>
      <c r="V26" s="1">
        <v>1.8546</v>
      </c>
      <c r="W26" s="1">
        <v>100.2</v>
      </c>
      <c r="X26" s="1">
        <v>1</v>
      </c>
      <c r="Y26" s="1">
        <v>1.486</v>
      </c>
      <c r="AA26" s="1">
        <v>0.62760000000000005</v>
      </c>
      <c r="AB26" s="1">
        <v>-0.91920000000000002</v>
      </c>
      <c r="AC26" s="1">
        <v>0.1883</v>
      </c>
      <c r="AD26" s="1">
        <v>4.1269</v>
      </c>
      <c r="AE26" s="1">
        <v>5.3087999999999997</v>
      </c>
      <c r="AF26" s="1">
        <v>2.2042999999999999</v>
      </c>
    </row>
    <row r="27" spans="1:32" s="1" customFormat="1" ht="11.25" x14ac:dyDescent="0.2">
      <c r="A27" s="1">
        <v>9</v>
      </c>
      <c r="B27" s="1">
        <v>1</v>
      </c>
      <c r="C27" s="1">
        <v>24.9</v>
      </c>
      <c r="D27" s="1">
        <v>1</v>
      </c>
      <c r="E27" s="1">
        <v>1.9433</v>
      </c>
      <c r="F27" s="1">
        <v>0.77359999999999995</v>
      </c>
      <c r="G27" s="1">
        <v>0.64700000000000002</v>
      </c>
      <c r="H27" s="1">
        <v>-0.71909999999999996</v>
      </c>
      <c r="I27" s="1">
        <v>2.0999999999999999E-3</v>
      </c>
      <c r="J27" s="1">
        <v>3.464</v>
      </c>
      <c r="K27" s="1">
        <v>3.8530000000000002</v>
      </c>
      <c r="L27" s="1">
        <v>2.2966000000000002</v>
      </c>
      <c r="M27" s="1">
        <v>-55.2</v>
      </c>
      <c r="N27" s="1">
        <v>1</v>
      </c>
      <c r="O27" s="1">
        <v>2.3540000000000001</v>
      </c>
      <c r="P27" s="1">
        <v>0.89359999999999995</v>
      </c>
      <c r="Q27" s="1">
        <v>0.36370000000000002</v>
      </c>
      <c r="R27" s="1">
        <v>-0.55069999999999997</v>
      </c>
      <c r="S27" s="1">
        <v>2.0899999999999998E-2</v>
      </c>
      <c r="T27" s="1">
        <v>2.0064000000000002</v>
      </c>
      <c r="U27" s="1">
        <v>2.7671999999999999</v>
      </c>
      <c r="V27" s="1">
        <v>2.1206999999999998</v>
      </c>
      <c r="W27" s="1">
        <v>100.3</v>
      </c>
      <c r="X27" s="1">
        <v>1</v>
      </c>
      <c r="Y27" s="1">
        <v>1.4414</v>
      </c>
      <c r="AA27" s="1">
        <v>0.79320000000000002</v>
      </c>
      <c r="AB27" s="1">
        <v>-1.0023</v>
      </c>
      <c r="AC27" s="1">
        <v>0.2286</v>
      </c>
      <c r="AD27" s="1">
        <v>4.1086999999999998</v>
      </c>
      <c r="AE27" s="1">
        <v>5.0975999999999999</v>
      </c>
      <c r="AF27" s="1">
        <v>2.4834000000000001</v>
      </c>
    </row>
    <row r="28" spans="1:32" s="1" customFormat="1" ht="11.25" x14ac:dyDescent="0.2">
      <c r="A28" s="1">
        <v>10</v>
      </c>
      <c r="B28" s="1">
        <v>1</v>
      </c>
      <c r="C28" s="1">
        <v>24.9</v>
      </c>
      <c r="D28" s="1">
        <v>1</v>
      </c>
      <c r="E28" s="1">
        <v>1.9834000000000001</v>
      </c>
      <c r="F28" s="1">
        <v>0.7792</v>
      </c>
      <c r="G28" s="1">
        <v>0.66249999999999998</v>
      </c>
      <c r="H28" s="1">
        <v>-0.78039999999999998</v>
      </c>
      <c r="I28" s="1">
        <v>1.4E-3</v>
      </c>
      <c r="J28" s="1">
        <v>3.4121999999999999</v>
      </c>
      <c r="K28" s="1">
        <v>3.8908</v>
      </c>
      <c r="L28" s="1">
        <v>2.0796999999999999</v>
      </c>
      <c r="M28" s="1">
        <v>-55.2</v>
      </c>
      <c r="N28" s="1">
        <v>1</v>
      </c>
      <c r="O28" s="1">
        <v>2.3866000000000001</v>
      </c>
      <c r="P28" s="1">
        <v>0.89749999999999996</v>
      </c>
      <c r="Q28" s="1">
        <v>0.60580000000000001</v>
      </c>
      <c r="R28" s="1">
        <v>-0.63959999999999995</v>
      </c>
      <c r="S28" s="1">
        <v>1.9E-2</v>
      </c>
      <c r="T28" s="1">
        <v>1.9469000000000001</v>
      </c>
      <c r="U28" s="1">
        <v>2.8353000000000002</v>
      </c>
      <c r="V28" s="1">
        <v>1.9077</v>
      </c>
      <c r="W28" s="1">
        <v>100.3</v>
      </c>
      <c r="X28" s="1">
        <v>1</v>
      </c>
      <c r="Y28" s="1">
        <v>1.4962</v>
      </c>
      <c r="AA28" s="1">
        <v>0.7429</v>
      </c>
      <c r="AB28" s="1">
        <v>-0.89390000000000003</v>
      </c>
      <c r="AC28" s="1">
        <v>0.21149999999999999</v>
      </c>
      <c r="AD28" s="1">
        <v>4.0416999999999996</v>
      </c>
      <c r="AE28" s="1">
        <v>5.1430999999999996</v>
      </c>
      <c r="AF28" s="1">
        <v>2.2612999999999999</v>
      </c>
    </row>
    <row r="29" spans="1:32" s="1" customFormat="1" ht="11.25" x14ac:dyDescent="0.2">
      <c r="A29" s="1">
        <v>11</v>
      </c>
      <c r="B29" s="1">
        <v>1</v>
      </c>
      <c r="C29" s="1">
        <v>25</v>
      </c>
      <c r="D29" s="1">
        <v>1</v>
      </c>
      <c r="E29" s="1">
        <v>1.958</v>
      </c>
      <c r="F29" s="1">
        <v>0.77690000000000003</v>
      </c>
      <c r="G29" s="1">
        <v>0.5766</v>
      </c>
      <c r="H29" s="1">
        <v>-0.71630000000000005</v>
      </c>
      <c r="I29" s="1">
        <v>1.6000000000000001E-3</v>
      </c>
      <c r="J29" s="1">
        <v>3.4070999999999998</v>
      </c>
      <c r="K29" s="1">
        <v>3.8279000000000001</v>
      </c>
      <c r="L29" s="1">
        <v>2.1318000000000001</v>
      </c>
      <c r="M29" s="1">
        <v>-55.3</v>
      </c>
      <c r="N29" s="1">
        <v>1</v>
      </c>
      <c r="O29" s="1">
        <v>2.3668</v>
      </c>
      <c r="P29" s="1">
        <v>0.89590000000000003</v>
      </c>
      <c r="Q29" s="1">
        <v>0.49890000000000001</v>
      </c>
      <c r="R29" s="1">
        <v>-0.48349999999999999</v>
      </c>
      <c r="S29" s="1">
        <v>2.0899999999999998E-2</v>
      </c>
      <c r="T29" s="1">
        <v>1.9341999999999999</v>
      </c>
      <c r="U29" s="1">
        <v>2.7627999999999999</v>
      </c>
      <c r="V29" s="1">
        <v>1.9572000000000001</v>
      </c>
      <c r="W29" s="1">
        <v>100.1</v>
      </c>
      <c r="X29" s="1">
        <v>1</v>
      </c>
      <c r="Y29" s="1">
        <v>1.4610000000000001</v>
      </c>
      <c r="AA29" s="1">
        <v>0.54379999999999995</v>
      </c>
      <c r="AB29" s="1">
        <v>-0.77610000000000001</v>
      </c>
      <c r="AC29" s="1">
        <v>0.23119999999999999</v>
      </c>
      <c r="AD29" s="1">
        <v>4.0747999999999998</v>
      </c>
      <c r="AE29" s="1">
        <v>5.0664999999999996</v>
      </c>
      <c r="AF29" s="1">
        <v>2.3130000000000002</v>
      </c>
    </row>
    <row r="30" spans="1:32" s="1" customFormat="1" ht="11.25" x14ac:dyDescent="0.2">
      <c r="A30" s="1">
        <v>12</v>
      </c>
      <c r="B30" s="1">
        <v>15</v>
      </c>
      <c r="C30" s="1">
        <v>25</v>
      </c>
      <c r="D30" s="1">
        <v>1</v>
      </c>
      <c r="E30" s="1">
        <v>2.1795</v>
      </c>
      <c r="F30" s="1">
        <v>0.78469999999999995</v>
      </c>
      <c r="G30" s="1">
        <v>0.47099999999999997</v>
      </c>
      <c r="H30" s="1">
        <v>-0.44569999999999999</v>
      </c>
      <c r="I30" s="1">
        <v>1.4E-3</v>
      </c>
      <c r="J30" s="1">
        <v>3.3378999999999999</v>
      </c>
      <c r="K30" s="1">
        <v>3.8083999999999998</v>
      </c>
      <c r="L30" s="1">
        <v>1.7413000000000001</v>
      </c>
      <c r="M30" s="1">
        <v>-55.3</v>
      </c>
      <c r="N30" s="1">
        <v>1</v>
      </c>
      <c r="O30" s="1">
        <v>2.6358999999999999</v>
      </c>
      <c r="P30" s="1">
        <v>0.90210000000000001</v>
      </c>
      <c r="Q30" s="1">
        <v>0.38900000000000001</v>
      </c>
      <c r="R30" s="1">
        <v>-0.3957</v>
      </c>
      <c r="S30" s="1">
        <v>2.24E-2</v>
      </c>
      <c r="T30" s="1">
        <v>1.3994</v>
      </c>
      <c r="U30" s="1">
        <v>2.8227000000000002</v>
      </c>
      <c r="V30" s="1">
        <v>1.5817000000000001</v>
      </c>
      <c r="W30" s="1">
        <v>100.4</v>
      </c>
      <c r="X30" s="1">
        <v>1</v>
      </c>
      <c r="Y30" s="1">
        <v>1.6278999999999999</v>
      </c>
      <c r="AA30" s="1">
        <v>1.222</v>
      </c>
      <c r="AB30" s="1">
        <v>-1.4864999999999999</v>
      </c>
      <c r="AC30" s="1">
        <v>0.2467</v>
      </c>
      <c r="AD30" s="1">
        <v>3.4239000000000002</v>
      </c>
      <c r="AE30" s="1">
        <v>5.0317999999999996</v>
      </c>
      <c r="AF30" s="1">
        <v>1.9087000000000001</v>
      </c>
    </row>
    <row r="31" spans="1:32" s="1" customFormat="1" ht="11.25" x14ac:dyDescent="0.2">
      <c r="A31" s="1">
        <v>13</v>
      </c>
      <c r="B31" s="1">
        <v>1</v>
      </c>
      <c r="C31" s="1">
        <v>25</v>
      </c>
      <c r="D31" s="1">
        <v>1</v>
      </c>
      <c r="E31" s="1">
        <v>1.9786999999999999</v>
      </c>
      <c r="F31" s="1">
        <v>0.78100000000000003</v>
      </c>
      <c r="G31" s="1">
        <v>0.69440000000000002</v>
      </c>
      <c r="H31" s="1">
        <v>-0.73819999999999997</v>
      </c>
      <c r="I31" s="1">
        <v>1.4E-3</v>
      </c>
      <c r="J31" s="1">
        <v>3.3797000000000001</v>
      </c>
      <c r="K31" s="1">
        <v>3.8296000000000001</v>
      </c>
      <c r="L31" s="1">
        <v>1.9091</v>
      </c>
      <c r="M31" s="1">
        <v>-55.2</v>
      </c>
      <c r="N31" s="1">
        <v>1</v>
      </c>
      <c r="O31" s="1">
        <v>2.3898999999999999</v>
      </c>
      <c r="P31" s="1">
        <v>0.89849999999999997</v>
      </c>
      <c r="Q31" s="1">
        <v>0.43480000000000002</v>
      </c>
      <c r="R31" s="1">
        <v>-0.61109999999999998</v>
      </c>
      <c r="S31" s="1">
        <v>2.0799999999999999E-2</v>
      </c>
      <c r="T31" s="1">
        <v>1.9246000000000001</v>
      </c>
      <c r="U31" s="1">
        <v>2.7591999999999999</v>
      </c>
      <c r="V31" s="1">
        <v>1.7444999999999999</v>
      </c>
      <c r="W31" s="1">
        <v>100.2</v>
      </c>
      <c r="X31" s="1">
        <v>1</v>
      </c>
      <c r="Y31" s="1">
        <v>1.4843999999999999</v>
      </c>
      <c r="AA31" s="1">
        <v>0.52380000000000004</v>
      </c>
      <c r="AB31" s="1">
        <v>-0.84089999999999998</v>
      </c>
      <c r="AC31" s="1">
        <v>0.2051</v>
      </c>
      <c r="AD31" s="1">
        <v>3.9756</v>
      </c>
      <c r="AE31" s="1">
        <v>5.0378999999999996</v>
      </c>
      <c r="AF31" s="1">
        <v>2.0804</v>
      </c>
    </row>
    <row r="32" spans="1:32" s="1" customFormat="1" ht="11.25" x14ac:dyDescent="0.2">
      <c r="A32" s="1">
        <v>14</v>
      </c>
      <c r="B32" s="1">
        <v>1</v>
      </c>
      <c r="C32" s="1">
        <v>24.9</v>
      </c>
      <c r="D32" s="1">
        <v>1</v>
      </c>
      <c r="E32" s="1">
        <v>1.9423999999999999</v>
      </c>
      <c r="F32" s="1">
        <v>0.78100000000000003</v>
      </c>
      <c r="G32" s="1">
        <v>0.59699999999999998</v>
      </c>
      <c r="H32" s="1">
        <v>-0.65810000000000002</v>
      </c>
      <c r="I32" s="1">
        <v>1.4E-3</v>
      </c>
      <c r="J32" s="1">
        <v>3.3323999999999998</v>
      </c>
      <c r="K32" s="1">
        <v>3.9232999999999998</v>
      </c>
      <c r="L32" s="1">
        <v>1.9233</v>
      </c>
      <c r="M32" s="1">
        <v>-55.2</v>
      </c>
      <c r="N32" s="1">
        <v>1</v>
      </c>
      <c r="O32" s="1">
        <v>2.3431000000000002</v>
      </c>
      <c r="P32" s="1">
        <v>0.89839999999999998</v>
      </c>
      <c r="Q32" s="1">
        <v>0.4249</v>
      </c>
      <c r="R32" s="1">
        <v>-0.495</v>
      </c>
      <c r="S32" s="1">
        <v>1.9599999999999999E-2</v>
      </c>
      <c r="T32" s="1">
        <v>1.8439000000000001</v>
      </c>
      <c r="U32" s="1">
        <v>2.8509000000000002</v>
      </c>
      <c r="V32" s="1">
        <v>1.7557</v>
      </c>
      <c r="W32" s="1">
        <v>100.2</v>
      </c>
      <c r="X32" s="1">
        <v>1</v>
      </c>
      <c r="Y32" s="1">
        <v>1.4674</v>
      </c>
      <c r="AA32" s="1">
        <v>0.7772</v>
      </c>
      <c r="AB32" s="1">
        <v>-0.98529999999999995</v>
      </c>
      <c r="AC32" s="1">
        <v>0.1948</v>
      </c>
      <c r="AD32" s="1">
        <v>3.9803000000000002</v>
      </c>
      <c r="AE32" s="1">
        <v>5.1430999999999996</v>
      </c>
      <c r="AF32" s="1">
        <v>2.0960999999999999</v>
      </c>
    </row>
    <row r="33" spans="1:32" s="1" customFormat="1" ht="11.25" x14ac:dyDescent="0.2">
      <c r="A33" s="1">
        <v>15</v>
      </c>
      <c r="B33" s="1">
        <v>1</v>
      </c>
      <c r="C33" s="1">
        <v>25</v>
      </c>
      <c r="D33" s="1">
        <v>1</v>
      </c>
      <c r="E33" s="1">
        <v>1.9169</v>
      </c>
      <c r="F33" s="1">
        <v>0.77470000000000006</v>
      </c>
      <c r="G33" s="1">
        <v>0.64700000000000002</v>
      </c>
      <c r="H33" s="1">
        <v>-0.75749999999999995</v>
      </c>
      <c r="I33" s="1">
        <v>1.9E-3</v>
      </c>
      <c r="J33" s="1">
        <v>3.4683999999999999</v>
      </c>
      <c r="K33" s="1">
        <v>3.8555999999999999</v>
      </c>
      <c r="L33" s="1">
        <v>2.2921</v>
      </c>
      <c r="M33" s="1">
        <v>-55.3</v>
      </c>
      <c r="N33" s="1">
        <v>1</v>
      </c>
      <c r="O33" s="1">
        <v>2.3197000000000001</v>
      </c>
      <c r="P33" s="1">
        <v>0.89439999999999997</v>
      </c>
      <c r="Q33" s="1">
        <v>0.5988</v>
      </c>
      <c r="R33" s="1">
        <v>-0.68869999999999998</v>
      </c>
      <c r="S33" s="1">
        <v>2.01E-2</v>
      </c>
      <c r="T33" s="1">
        <v>1.9787999999999999</v>
      </c>
      <c r="U33" s="1">
        <v>2.7738</v>
      </c>
      <c r="V33" s="1">
        <v>2.1162000000000001</v>
      </c>
      <c r="W33" s="1">
        <v>100.1</v>
      </c>
      <c r="X33" s="1">
        <v>1</v>
      </c>
      <c r="Y33" s="1">
        <v>1.425</v>
      </c>
      <c r="AA33" s="1">
        <v>0.70820000000000005</v>
      </c>
      <c r="AB33" s="1">
        <v>-0.88060000000000005</v>
      </c>
      <c r="AC33" s="1">
        <v>0.22189999999999999</v>
      </c>
      <c r="AD33" s="1">
        <v>4.1424000000000003</v>
      </c>
      <c r="AE33" s="1">
        <v>5.1192000000000002</v>
      </c>
      <c r="AF33" s="1">
        <v>2.4794999999999998</v>
      </c>
    </row>
    <row r="34" spans="1:32" s="1" customFormat="1" ht="11.25" x14ac:dyDescent="0.2">
      <c r="A34" s="1">
        <v>16</v>
      </c>
      <c r="B34" s="1">
        <v>1</v>
      </c>
      <c r="C34" s="1">
        <v>25</v>
      </c>
      <c r="D34" s="1">
        <v>1</v>
      </c>
      <c r="E34" s="1">
        <v>2.024</v>
      </c>
      <c r="F34" s="1">
        <v>0.7782</v>
      </c>
      <c r="G34" s="1">
        <v>0.59830000000000005</v>
      </c>
      <c r="H34" s="1">
        <v>-0.77869999999999995</v>
      </c>
      <c r="I34" s="1">
        <v>1.6000000000000001E-3</v>
      </c>
      <c r="J34" s="1">
        <v>3.4603999999999999</v>
      </c>
      <c r="K34" s="1">
        <v>3.8675000000000002</v>
      </c>
      <c r="L34" s="1">
        <v>2.0682</v>
      </c>
      <c r="M34" s="1">
        <v>-55.3</v>
      </c>
      <c r="N34" s="1">
        <v>1</v>
      </c>
      <c r="O34" s="1">
        <v>2.4651000000000001</v>
      </c>
      <c r="P34" s="1">
        <v>0.89680000000000004</v>
      </c>
      <c r="Q34" s="1">
        <v>0.3634</v>
      </c>
      <c r="R34" s="1">
        <v>-0.44040000000000001</v>
      </c>
      <c r="S34" s="1">
        <v>1.9599999999999999E-2</v>
      </c>
      <c r="T34" s="1">
        <v>1.9513</v>
      </c>
      <c r="U34" s="1">
        <v>2.7507999999999999</v>
      </c>
      <c r="V34" s="1">
        <v>1.8965000000000001</v>
      </c>
      <c r="W34" s="1">
        <v>100</v>
      </c>
      <c r="X34" s="1">
        <v>1</v>
      </c>
      <c r="Y34" s="1">
        <v>1.5004</v>
      </c>
      <c r="AA34" s="1">
        <v>0.52339999999999998</v>
      </c>
      <c r="AB34" s="1">
        <v>-0.7571</v>
      </c>
      <c r="AC34" s="1">
        <v>0.21920000000000001</v>
      </c>
      <c r="AD34" s="1">
        <v>4.0749000000000004</v>
      </c>
      <c r="AE34" s="1">
        <v>5.1102999999999996</v>
      </c>
      <c r="AF34" s="1">
        <v>2.2484999999999999</v>
      </c>
    </row>
    <row r="35" spans="1:32" s="1" customFormat="1" ht="11.25" x14ac:dyDescent="0.2">
      <c r="A35" s="1">
        <v>17</v>
      </c>
      <c r="B35" s="1">
        <v>1</v>
      </c>
      <c r="C35" s="1">
        <v>24.9</v>
      </c>
      <c r="D35" s="1">
        <v>1</v>
      </c>
      <c r="E35" s="1">
        <v>1.9127000000000001</v>
      </c>
      <c r="F35" s="1">
        <v>0.77800000000000002</v>
      </c>
      <c r="G35" s="1">
        <v>0.60189999999999999</v>
      </c>
      <c r="H35" s="1">
        <v>-0.753</v>
      </c>
      <c r="I35" s="1">
        <v>1.6000000000000001E-3</v>
      </c>
      <c r="J35" s="1">
        <v>3.5145</v>
      </c>
      <c r="K35" s="1">
        <v>3.9786000000000001</v>
      </c>
      <c r="L35" s="1">
        <v>2.1789000000000001</v>
      </c>
      <c r="M35" s="1">
        <v>-55.3</v>
      </c>
      <c r="N35" s="1">
        <v>1</v>
      </c>
      <c r="O35" s="1">
        <v>2.3102999999999998</v>
      </c>
      <c r="P35" s="1">
        <v>0.89659999999999995</v>
      </c>
      <c r="Q35" s="1">
        <v>0.56030000000000002</v>
      </c>
      <c r="R35" s="1">
        <v>-0.73380000000000001</v>
      </c>
      <c r="S35" s="1">
        <v>0.02</v>
      </c>
      <c r="T35" s="1">
        <v>2.0301999999999998</v>
      </c>
      <c r="U35" s="1">
        <v>2.8822000000000001</v>
      </c>
      <c r="V35" s="1">
        <v>2.0061</v>
      </c>
      <c r="W35" s="1">
        <v>99.9</v>
      </c>
      <c r="X35" s="1">
        <v>1</v>
      </c>
      <c r="Y35" s="1">
        <v>1.4346000000000001</v>
      </c>
      <c r="AA35" s="1">
        <v>0.71279999999999999</v>
      </c>
      <c r="AB35" s="1">
        <v>-0.83379999999999999</v>
      </c>
      <c r="AC35" s="1">
        <v>0.2167</v>
      </c>
      <c r="AD35" s="1">
        <v>4.1311999999999998</v>
      </c>
      <c r="AE35" s="1">
        <v>5.1913999999999998</v>
      </c>
      <c r="AF35" s="1">
        <v>2.3601000000000001</v>
      </c>
    </row>
    <row r="36" spans="1:32" s="1" customFormat="1" ht="11.25" x14ac:dyDescent="0.2">
      <c r="A36" s="1">
        <v>18</v>
      </c>
      <c r="B36" s="1">
        <v>15</v>
      </c>
      <c r="C36" s="1">
        <v>25</v>
      </c>
      <c r="D36" s="1">
        <v>1</v>
      </c>
      <c r="E36" s="1">
        <v>2.0588000000000002</v>
      </c>
      <c r="F36" s="1">
        <v>0.77890000000000004</v>
      </c>
      <c r="G36" s="1">
        <v>0.43259999999999998</v>
      </c>
      <c r="H36" s="1">
        <v>-0.4556</v>
      </c>
      <c r="I36" s="1">
        <v>1.9E-3</v>
      </c>
      <c r="J36" s="1">
        <v>3.2725</v>
      </c>
      <c r="K36" s="1">
        <v>3.605</v>
      </c>
      <c r="L36" s="1">
        <v>1.9964999999999999</v>
      </c>
      <c r="M36" s="1">
        <v>-55.1</v>
      </c>
      <c r="N36" s="1">
        <v>1</v>
      </c>
      <c r="O36" s="1">
        <v>2.5146999999999999</v>
      </c>
      <c r="P36" s="1">
        <v>0.89790000000000003</v>
      </c>
      <c r="Q36" s="1">
        <v>0.35730000000000001</v>
      </c>
      <c r="R36" s="1">
        <v>-0.41820000000000002</v>
      </c>
      <c r="S36" s="1">
        <v>2.3599999999999999E-2</v>
      </c>
      <c r="T36" s="1">
        <v>1.3492</v>
      </c>
      <c r="U36" s="1">
        <v>2.5605000000000002</v>
      </c>
      <c r="V36" s="1">
        <v>1.8240000000000001</v>
      </c>
      <c r="W36" s="1">
        <v>100.5</v>
      </c>
      <c r="X36" s="1">
        <v>1</v>
      </c>
      <c r="Y36" s="1">
        <v>1.5245</v>
      </c>
      <c r="AA36" s="1">
        <v>1.089</v>
      </c>
      <c r="AB36" s="1">
        <v>-1.3095000000000001</v>
      </c>
      <c r="AC36" s="1">
        <v>0.22520000000000001</v>
      </c>
      <c r="AD36" s="1">
        <v>3.3107000000000002</v>
      </c>
      <c r="AE36" s="1">
        <v>4.843</v>
      </c>
      <c r="AF36" s="1">
        <v>2.1724999999999999</v>
      </c>
    </row>
    <row r="37" spans="1:32" s="1" customFormat="1" ht="11.25" x14ac:dyDescent="0.2">
      <c r="A37" s="1">
        <v>20</v>
      </c>
      <c r="B37" s="1">
        <v>1</v>
      </c>
      <c r="C37" s="1">
        <v>24.9</v>
      </c>
      <c r="D37" s="1">
        <v>1</v>
      </c>
      <c r="E37" s="1">
        <v>2.0087999999999999</v>
      </c>
      <c r="F37" s="1">
        <v>0.77800000000000002</v>
      </c>
      <c r="G37" s="1">
        <v>0.55559999999999998</v>
      </c>
      <c r="H37" s="1">
        <v>-0.77749999999999997</v>
      </c>
      <c r="I37" s="1">
        <v>1.6000000000000001E-3</v>
      </c>
      <c r="J37" s="1">
        <v>3.4420000000000002</v>
      </c>
      <c r="K37" s="1">
        <v>3.8992</v>
      </c>
      <c r="L37" s="1">
        <v>2.1524999999999999</v>
      </c>
      <c r="M37" s="1">
        <v>-55.2</v>
      </c>
      <c r="N37" s="1">
        <v>1</v>
      </c>
      <c r="O37" s="1">
        <v>2.4451999999999998</v>
      </c>
      <c r="P37" s="1">
        <v>0.89639999999999997</v>
      </c>
      <c r="Q37" s="1">
        <v>0.56110000000000004</v>
      </c>
      <c r="R37" s="1">
        <v>-0.71699999999999997</v>
      </c>
      <c r="S37" s="1">
        <v>1.9599999999999999E-2</v>
      </c>
      <c r="T37" s="1">
        <v>1.9726999999999999</v>
      </c>
      <c r="U37" s="1">
        <v>2.7896000000000001</v>
      </c>
      <c r="V37" s="1">
        <v>1.9813000000000001</v>
      </c>
      <c r="W37" s="1">
        <v>100</v>
      </c>
      <c r="X37" s="1">
        <v>1</v>
      </c>
      <c r="Y37" s="1">
        <v>1.4863</v>
      </c>
      <c r="AA37" s="1">
        <v>0.51819999999999999</v>
      </c>
      <c r="AB37" s="1">
        <v>-0.78659999999999997</v>
      </c>
      <c r="AC37" s="1">
        <v>0.2104</v>
      </c>
      <c r="AD37" s="1">
        <v>4.1138000000000003</v>
      </c>
      <c r="AE37" s="1">
        <v>5.1261000000000001</v>
      </c>
      <c r="AF37" s="1">
        <v>2.3357000000000001</v>
      </c>
    </row>
    <row r="38" spans="1:32" s="1" customFormat="1" ht="11.25" x14ac:dyDescent="0.2">
      <c r="A38" s="1">
        <v>21</v>
      </c>
      <c r="B38" s="1">
        <v>15</v>
      </c>
      <c r="C38" s="1">
        <v>25.1</v>
      </c>
      <c r="D38" s="1">
        <v>1</v>
      </c>
      <c r="E38" s="1">
        <v>2.0971000000000002</v>
      </c>
      <c r="F38" s="1">
        <v>0.78139999999999998</v>
      </c>
      <c r="G38" s="1">
        <v>0.43390000000000001</v>
      </c>
      <c r="H38" s="1">
        <v>-0.46539999999999998</v>
      </c>
      <c r="I38" s="1">
        <v>1.5E-3</v>
      </c>
      <c r="J38" s="1">
        <v>3.2989999999999999</v>
      </c>
      <c r="K38" s="1">
        <v>3.6414</v>
      </c>
      <c r="L38" s="1">
        <v>1.8082</v>
      </c>
      <c r="M38" s="1">
        <v>-55.4</v>
      </c>
      <c r="N38" s="1">
        <v>1</v>
      </c>
      <c r="O38" s="1">
        <v>2.5703</v>
      </c>
      <c r="P38" s="1">
        <v>0.89959999999999996</v>
      </c>
      <c r="Q38" s="1">
        <v>0.36870000000000003</v>
      </c>
      <c r="R38" s="1">
        <v>-0.45169999999999999</v>
      </c>
      <c r="S38" s="1">
        <v>2.3099999999999999E-2</v>
      </c>
      <c r="T38" s="1">
        <v>1.2362</v>
      </c>
      <c r="U38" s="1">
        <v>2.5438999999999998</v>
      </c>
      <c r="V38" s="1">
        <v>1.6434</v>
      </c>
      <c r="W38" s="1">
        <v>100.5</v>
      </c>
      <c r="X38" s="1">
        <v>1</v>
      </c>
      <c r="Y38" s="1">
        <v>1.5369999999999999</v>
      </c>
      <c r="AA38" s="1">
        <v>1.0647</v>
      </c>
      <c r="AB38" s="1">
        <v>-1.2627999999999999</v>
      </c>
      <c r="AC38" s="1">
        <v>0.26989999999999997</v>
      </c>
      <c r="AD38" s="1">
        <v>3.3912</v>
      </c>
      <c r="AE38" s="1">
        <v>4.8926999999999996</v>
      </c>
      <c r="AF38" s="1">
        <v>1.9794</v>
      </c>
    </row>
    <row r="39" spans="1:32" s="1" customFormat="1" ht="11.25" x14ac:dyDescent="0.2">
      <c r="A39" s="1">
        <v>22</v>
      </c>
      <c r="B39" s="1">
        <v>1</v>
      </c>
      <c r="C39" s="1">
        <v>25</v>
      </c>
      <c r="D39" s="1">
        <v>1</v>
      </c>
      <c r="E39" s="1">
        <v>1.9901</v>
      </c>
      <c r="F39" s="1">
        <v>0.77700000000000002</v>
      </c>
      <c r="G39" s="1">
        <v>0.40460000000000002</v>
      </c>
      <c r="H39" s="1">
        <v>-0.52890000000000004</v>
      </c>
      <c r="I39" s="1">
        <v>1.6999999999999999E-3</v>
      </c>
      <c r="J39" s="1">
        <v>3.4460000000000002</v>
      </c>
      <c r="K39" s="1">
        <v>3.8662000000000001</v>
      </c>
      <c r="L39" s="1">
        <v>2.1071</v>
      </c>
      <c r="M39" s="1">
        <v>-55.1</v>
      </c>
      <c r="N39" s="1">
        <v>1</v>
      </c>
      <c r="O39" s="1">
        <v>2.4171</v>
      </c>
      <c r="P39" s="1">
        <v>0.89570000000000005</v>
      </c>
      <c r="Q39" s="1">
        <v>0.36730000000000002</v>
      </c>
      <c r="R39" s="1">
        <v>-0.43630000000000002</v>
      </c>
      <c r="S39" s="1">
        <v>2.07E-2</v>
      </c>
      <c r="T39" s="1">
        <v>1.9834000000000001</v>
      </c>
      <c r="U39" s="1">
        <v>2.7669999999999999</v>
      </c>
      <c r="V39" s="1">
        <v>1.9361999999999999</v>
      </c>
      <c r="W39" s="1">
        <v>100.2</v>
      </c>
      <c r="X39" s="1">
        <v>1</v>
      </c>
      <c r="Y39" s="1">
        <v>1.4766999999999999</v>
      </c>
      <c r="AA39" s="1">
        <v>0.74590000000000001</v>
      </c>
      <c r="AB39" s="1">
        <v>-0.85519999999999996</v>
      </c>
      <c r="AC39" s="1">
        <v>0.2271</v>
      </c>
      <c r="AD39" s="1">
        <v>4.0876999999999999</v>
      </c>
      <c r="AE39" s="1">
        <v>5.0792000000000002</v>
      </c>
      <c r="AF39" s="1">
        <v>2.2881</v>
      </c>
    </row>
    <row r="40" spans="1:32" s="1" customFormat="1" ht="11.25" x14ac:dyDescent="0.2">
      <c r="A40" s="1">
        <v>23</v>
      </c>
      <c r="B40" s="1">
        <v>15</v>
      </c>
      <c r="C40" s="1">
        <v>25.1</v>
      </c>
      <c r="D40" s="1">
        <v>1</v>
      </c>
      <c r="E40" s="1">
        <v>2.0764999999999998</v>
      </c>
      <c r="F40" s="1">
        <v>0.78090000000000004</v>
      </c>
      <c r="G40" s="1">
        <v>0.30349999999999999</v>
      </c>
      <c r="H40" s="1">
        <v>-0.36870000000000003</v>
      </c>
      <c r="I40" s="1">
        <v>1.4E-3</v>
      </c>
      <c r="J40" s="1">
        <v>3.4180000000000001</v>
      </c>
      <c r="K40" s="1">
        <v>3.8896000000000002</v>
      </c>
      <c r="L40" s="1">
        <v>1.9752000000000001</v>
      </c>
      <c r="M40" s="1">
        <v>-55.2</v>
      </c>
      <c r="N40" s="1">
        <v>1</v>
      </c>
      <c r="O40" s="1">
        <v>2.5224000000000002</v>
      </c>
      <c r="P40" s="1">
        <v>0.89970000000000006</v>
      </c>
      <c r="Q40" s="1">
        <v>0.27639999999999998</v>
      </c>
      <c r="R40" s="1">
        <v>-0.2802</v>
      </c>
      <c r="S40" s="1">
        <v>2.29E-2</v>
      </c>
      <c r="T40" s="1">
        <v>1.9784999999999999</v>
      </c>
      <c r="U40" s="1">
        <v>2.8010000000000002</v>
      </c>
      <c r="V40" s="1">
        <v>1.8042</v>
      </c>
      <c r="W40" s="1">
        <v>100.1</v>
      </c>
      <c r="X40" s="1">
        <v>1</v>
      </c>
      <c r="Y40" s="1">
        <v>1.5468</v>
      </c>
      <c r="AA40" s="1">
        <v>0.73150000000000004</v>
      </c>
      <c r="AB40" s="1">
        <v>-0.90039999999999998</v>
      </c>
      <c r="AC40" s="1">
        <v>0.2019</v>
      </c>
      <c r="AD40" s="1">
        <v>4.0297000000000001</v>
      </c>
      <c r="AE40" s="1">
        <v>5.0476999999999999</v>
      </c>
      <c r="AF40" s="1">
        <v>2.15</v>
      </c>
    </row>
    <row r="41" spans="1:32" s="1" customFormat="1" ht="11.25" x14ac:dyDescent="0.2">
      <c r="A41" s="1">
        <v>24</v>
      </c>
      <c r="B41" s="1">
        <v>1</v>
      </c>
      <c r="C41" s="1">
        <v>24.9</v>
      </c>
      <c r="D41" s="1">
        <v>1</v>
      </c>
      <c r="E41" s="1">
        <v>2.0371000000000001</v>
      </c>
      <c r="F41" s="1">
        <v>0.77649999999999997</v>
      </c>
      <c r="G41" s="1">
        <v>0.5675</v>
      </c>
      <c r="H41" s="1">
        <v>-0.63519999999999999</v>
      </c>
      <c r="I41" s="1">
        <v>1.5E-3</v>
      </c>
      <c r="J41" s="1">
        <v>3.3853</v>
      </c>
      <c r="K41" s="1">
        <v>3.9264000000000001</v>
      </c>
      <c r="L41" s="1">
        <v>2.2393000000000001</v>
      </c>
      <c r="M41" s="1">
        <v>-55.3</v>
      </c>
      <c r="N41" s="1">
        <v>1</v>
      </c>
      <c r="O41" s="1">
        <v>2.4722</v>
      </c>
      <c r="P41" s="1">
        <v>0.89629999999999999</v>
      </c>
      <c r="Q41" s="1">
        <v>0.56340000000000001</v>
      </c>
      <c r="R41" s="1">
        <v>-0.57689999999999997</v>
      </c>
      <c r="S41" s="1">
        <v>2.1399999999999999E-2</v>
      </c>
      <c r="T41" s="1">
        <v>1.9839</v>
      </c>
      <c r="U41" s="1">
        <v>2.8216000000000001</v>
      </c>
      <c r="V41" s="1">
        <v>2.0625</v>
      </c>
      <c r="W41" s="1">
        <v>100.2</v>
      </c>
      <c r="X41" s="1">
        <v>1</v>
      </c>
      <c r="Y41" s="1">
        <v>1.512</v>
      </c>
      <c r="AA41" s="1">
        <v>0.73380000000000001</v>
      </c>
      <c r="AB41" s="1">
        <v>-0.98089999999999999</v>
      </c>
      <c r="AC41" s="1">
        <v>0.21890000000000001</v>
      </c>
      <c r="AD41" s="1">
        <v>4.1230000000000002</v>
      </c>
      <c r="AE41" s="1">
        <v>5.1417000000000002</v>
      </c>
      <c r="AF41" s="1">
        <v>2.4243999999999999</v>
      </c>
    </row>
    <row r="42" spans="1:32" s="1" customFormat="1" ht="11.25" x14ac:dyDescent="0.2">
      <c r="A42" s="1">
        <v>25</v>
      </c>
      <c r="B42" s="1">
        <v>1</v>
      </c>
      <c r="C42" s="1">
        <v>24.9</v>
      </c>
      <c r="D42" s="1">
        <v>1</v>
      </c>
      <c r="E42" s="1">
        <v>1.9269000000000001</v>
      </c>
      <c r="F42" s="1">
        <v>0.7752</v>
      </c>
      <c r="G42" s="1">
        <v>0.42730000000000001</v>
      </c>
      <c r="H42" s="1">
        <v>-0.62729999999999997</v>
      </c>
      <c r="I42" s="1">
        <v>1.8E-3</v>
      </c>
      <c r="J42" s="1">
        <v>3.4802</v>
      </c>
      <c r="K42" s="1">
        <v>3.8683000000000001</v>
      </c>
      <c r="L42" s="1">
        <v>2.3031000000000001</v>
      </c>
      <c r="M42" s="1">
        <v>-55.2</v>
      </c>
      <c r="N42" s="1">
        <v>1</v>
      </c>
      <c r="O42" s="1">
        <v>2.3386</v>
      </c>
      <c r="P42" s="1">
        <v>0.89470000000000005</v>
      </c>
      <c r="Q42" s="1">
        <v>0.63360000000000005</v>
      </c>
      <c r="R42" s="1">
        <v>-0.66739999999999999</v>
      </c>
      <c r="S42" s="1">
        <v>1.8100000000000002E-2</v>
      </c>
      <c r="T42" s="1">
        <v>1.9950000000000001</v>
      </c>
      <c r="U42" s="1">
        <v>2.7823000000000002</v>
      </c>
      <c r="V42" s="1">
        <v>2.1276000000000002</v>
      </c>
      <c r="W42" s="1">
        <v>100.1</v>
      </c>
      <c r="X42" s="1">
        <v>1</v>
      </c>
      <c r="Y42" s="1">
        <v>1.4247000000000001</v>
      </c>
      <c r="AA42" s="1">
        <v>0.75239999999999996</v>
      </c>
      <c r="AB42" s="1">
        <v>-0.86970000000000003</v>
      </c>
      <c r="AC42" s="1">
        <v>0.22509999999999999</v>
      </c>
      <c r="AD42" s="1">
        <v>4.1163999999999996</v>
      </c>
      <c r="AE42" s="1">
        <v>5.0872000000000002</v>
      </c>
      <c r="AF42" s="1">
        <v>2.4889000000000001</v>
      </c>
    </row>
    <row r="43" spans="1:32" s="1" customFormat="1" ht="11.25" x14ac:dyDescent="0.2">
      <c r="A43" s="1">
        <v>26</v>
      </c>
      <c r="B43" s="1">
        <v>1</v>
      </c>
      <c r="C43" s="1">
        <v>24.8</v>
      </c>
      <c r="D43" s="1">
        <v>1</v>
      </c>
      <c r="E43" s="1">
        <v>1.9235</v>
      </c>
      <c r="F43" s="1">
        <v>0.77390000000000003</v>
      </c>
      <c r="G43" s="1">
        <v>0.64319999999999999</v>
      </c>
      <c r="H43" s="1">
        <v>-0.68910000000000005</v>
      </c>
      <c r="I43" s="1">
        <v>1.8E-3</v>
      </c>
      <c r="J43" s="1">
        <v>3.4921000000000002</v>
      </c>
      <c r="K43" s="1">
        <v>3.8555000000000001</v>
      </c>
      <c r="L43" s="1">
        <v>2.2991999999999999</v>
      </c>
      <c r="M43" s="1">
        <v>-55.3</v>
      </c>
      <c r="N43" s="1">
        <v>1</v>
      </c>
      <c r="O43" s="1">
        <v>2.3452000000000002</v>
      </c>
      <c r="P43" s="1">
        <v>0.89419999999999999</v>
      </c>
      <c r="Q43" s="1">
        <v>0.62319999999999998</v>
      </c>
      <c r="R43" s="1">
        <v>-0.67649999999999999</v>
      </c>
      <c r="S43" s="1">
        <v>2.1100000000000001E-2</v>
      </c>
      <c r="T43" s="1">
        <v>1.9759</v>
      </c>
      <c r="U43" s="1">
        <v>2.7635000000000001</v>
      </c>
      <c r="V43" s="1">
        <v>2.1215999999999999</v>
      </c>
      <c r="W43" s="1">
        <v>100.1</v>
      </c>
      <c r="X43" s="1">
        <v>1</v>
      </c>
      <c r="Y43" s="1">
        <v>1.4154</v>
      </c>
      <c r="AA43" s="1">
        <v>0.69350000000000001</v>
      </c>
      <c r="AB43" s="1">
        <v>-0.9506</v>
      </c>
      <c r="AC43" s="1">
        <v>0.23250000000000001</v>
      </c>
      <c r="AD43" s="1">
        <v>4.1909999999999998</v>
      </c>
      <c r="AE43" s="1">
        <v>5.0952000000000002</v>
      </c>
      <c r="AF43" s="1">
        <v>2.4855</v>
      </c>
    </row>
    <row r="44" spans="1:32" s="1" customFormat="1" ht="11.25" x14ac:dyDescent="0.2">
      <c r="A44" s="1">
        <v>27</v>
      </c>
      <c r="B44" s="1">
        <v>15</v>
      </c>
      <c r="C44" s="1">
        <v>25</v>
      </c>
      <c r="D44" s="1">
        <v>1</v>
      </c>
      <c r="E44" s="1">
        <v>2.1017999999999999</v>
      </c>
      <c r="F44" s="1">
        <v>0.78159999999999996</v>
      </c>
      <c r="G44" s="1">
        <v>0.3236</v>
      </c>
      <c r="H44" s="1">
        <v>-0.35199999999999998</v>
      </c>
      <c r="I44" s="1">
        <v>1.6999999999999999E-3</v>
      </c>
      <c r="J44" s="1">
        <v>3.4380000000000002</v>
      </c>
      <c r="K44" s="1">
        <v>3.8592</v>
      </c>
      <c r="L44" s="1">
        <v>1.9051</v>
      </c>
      <c r="M44" s="1">
        <v>-55.2</v>
      </c>
      <c r="N44" s="1">
        <v>1</v>
      </c>
      <c r="O44" s="1">
        <v>2.5598999999999998</v>
      </c>
      <c r="P44" s="1">
        <v>0.90049999999999997</v>
      </c>
      <c r="Q44" s="1">
        <v>0.2122</v>
      </c>
      <c r="R44" s="1">
        <v>-0.33439999999999998</v>
      </c>
      <c r="S44" s="1">
        <v>2.2499999999999999E-2</v>
      </c>
      <c r="T44" s="1">
        <v>1.9433</v>
      </c>
      <c r="U44" s="1">
        <v>2.7915999999999999</v>
      </c>
      <c r="V44" s="1">
        <v>1.7371000000000001</v>
      </c>
      <c r="W44" s="1">
        <v>100.1</v>
      </c>
      <c r="X44" s="1">
        <v>1</v>
      </c>
      <c r="Y44" s="1">
        <v>1.5622</v>
      </c>
      <c r="AA44" s="1">
        <v>0.70299999999999996</v>
      </c>
      <c r="AB44" s="1">
        <v>-0.88729999999999998</v>
      </c>
      <c r="AC44" s="1">
        <v>0.20710000000000001</v>
      </c>
      <c r="AD44" s="1">
        <v>4.0110000000000001</v>
      </c>
      <c r="AE44" s="1">
        <v>5.0698999999999996</v>
      </c>
      <c r="AF44" s="1">
        <v>2.0779999999999998</v>
      </c>
    </row>
    <row r="45" spans="1:32" s="1" customFormat="1" ht="11.25" x14ac:dyDescent="0.2">
      <c r="A45" s="1">
        <v>28</v>
      </c>
      <c r="B45" s="1">
        <v>1</v>
      </c>
      <c r="C45" s="1">
        <v>24.9</v>
      </c>
      <c r="D45" s="1">
        <v>1</v>
      </c>
      <c r="E45" s="1">
        <v>2.0097</v>
      </c>
      <c r="F45" s="1">
        <v>0.77710000000000001</v>
      </c>
      <c r="G45" s="1">
        <v>0.45850000000000002</v>
      </c>
      <c r="H45" s="1">
        <v>-0.51800000000000002</v>
      </c>
      <c r="I45" s="1">
        <v>1.2999999999999999E-3</v>
      </c>
      <c r="J45" s="1">
        <v>3.4192</v>
      </c>
      <c r="K45" s="1">
        <v>3.8445</v>
      </c>
      <c r="L45" s="1">
        <v>2.0989</v>
      </c>
      <c r="M45" s="1">
        <v>-55.3</v>
      </c>
      <c r="N45" s="1">
        <v>1</v>
      </c>
      <c r="O45" s="1">
        <v>2.4342999999999999</v>
      </c>
      <c r="P45" s="1">
        <v>0.89610000000000001</v>
      </c>
      <c r="Q45" s="1">
        <v>0.40239999999999998</v>
      </c>
      <c r="R45" s="1">
        <v>-0.67</v>
      </c>
      <c r="S45" s="1">
        <v>1.8599999999999998E-2</v>
      </c>
      <c r="T45" s="1">
        <v>1.9305000000000001</v>
      </c>
      <c r="U45" s="1">
        <v>2.7547999999999999</v>
      </c>
      <c r="V45" s="1">
        <v>1.9271</v>
      </c>
      <c r="W45" s="1">
        <v>100.2</v>
      </c>
      <c r="X45" s="1">
        <v>1</v>
      </c>
      <c r="Y45" s="1">
        <v>1.4972000000000001</v>
      </c>
      <c r="AA45" s="1">
        <v>0.48270000000000002</v>
      </c>
      <c r="AB45" s="1">
        <v>-0.68459999999999999</v>
      </c>
      <c r="AC45" s="1">
        <v>0.22159999999999999</v>
      </c>
      <c r="AD45" s="1">
        <v>4.0278999999999998</v>
      </c>
      <c r="AE45" s="1">
        <v>5.0648</v>
      </c>
      <c r="AF45" s="1">
        <v>2.2783000000000002</v>
      </c>
    </row>
    <row r="46" spans="1:32" s="1" customFormat="1" ht="11.25" x14ac:dyDescent="0.2">
      <c r="A46" s="1">
        <v>29</v>
      </c>
      <c r="B46" s="1">
        <v>1</v>
      </c>
      <c r="C46" s="1">
        <v>24.9</v>
      </c>
      <c r="D46" s="1">
        <v>1</v>
      </c>
      <c r="E46" s="1">
        <v>1.9911000000000001</v>
      </c>
      <c r="F46" s="1">
        <v>0.77539999999999998</v>
      </c>
      <c r="G46" s="1">
        <v>0.39629999999999999</v>
      </c>
      <c r="H46" s="1">
        <v>-0.55449999999999999</v>
      </c>
      <c r="I46" s="1">
        <v>1.6000000000000001E-3</v>
      </c>
      <c r="J46" s="1">
        <v>3.4521000000000002</v>
      </c>
      <c r="K46" s="1">
        <v>3.8508</v>
      </c>
      <c r="L46" s="1">
        <v>2.1591999999999998</v>
      </c>
      <c r="M46" s="1">
        <v>-55.2</v>
      </c>
      <c r="N46" s="1">
        <v>1</v>
      </c>
      <c r="O46" s="1">
        <v>2.4209999999999998</v>
      </c>
      <c r="P46" s="1">
        <v>0.89539999999999997</v>
      </c>
      <c r="Q46" s="1">
        <v>0.59950000000000003</v>
      </c>
      <c r="R46" s="1">
        <v>-0.67490000000000006</v>
      </c>
      <c r="S46" s="1">
        <v>2.0400000000000001E-2</v>
      </c>
      <c r="T46" s="1">
        <v>1.9463999999999999</v>
      </c>
      <c r="U46" s="1">
        <v>2.7465999999999999</v>
      </c>
      <c r="V46" s="1">
        <v>1.9844999999999999</v>
      </c>
      <c r="W46" s="1">
        <v>100</v>
      </c>
      <c r="X46" s="1">
        <v>1</v>
      </c>
      <c r="Y46" s="1">
        <v>1.4766999999999999</v>
      </c>
      <c r="AA46" s="1">
        <v>0.50349999999999995</v>
      </c>
      <c r="AB46" s="1">
        <v>-0.69669999999999999</v>
      </c>
      <c r="AC46" s="1">
        <v>0.23699999999999999</v>
      </c>
      <c r="AD46" s="1">
        <v>4.1059999999999999</v>
      </c>
      <c r="AE46" s="1">
        <v>5.0911999999999997</v>
      </c>
      <c r="AF46" s="1">
        <v>2.3412000000000002</v>
      </c>
    </row>
    <row r="47" spans="1:32" s="1" customFormat="1" ht="11.25" x14ac:dyDescent="0.2">
      <c r="A47" s="1">
        <v>30</v>
      </c>
      <c r="B47" s="1">
        <v>1</v>
      </c>
      <c r="C47" s="1">
        <v>24.9</v>
      </c>
      <c r="D47" s="1">
        <v>1</v>
      </c>
      <c r="E47" s="1">
        <v>1.9296</v>
      </c>
      <c r="F47" s="1">
        <v>0.77510000000000001</v>
      </c>
      <c r="G47" s="1">
        <v>0.4047</v>
      </c>
      <c r="H47" s="1">
        <v>-0.51800000000000002</v>
      </c>
      <c r="I47" s="1">
        <v>1.6000000000000001E-3</v>
      </c>
      <c r="J47" s="1">
        <v>3.4857999999999998</v>
      </c>
      <c r="K47" s="1">
        <v>3.8424999999999998</v>
      </c>
      <c r="L47" s="1">
        <v>2.2717000000000001</v>
      </c>
      <c r="M47" s="1">
        <v>-55.2</v>
      </c>
      <c r="N47" s="1">
        <v>1</v>
      </c>
      <c r="O47" s="1">
        <v>2.3571</v>
      </c>
      <c r="P47" s="1">
        <v>0.89449999999999996</v>
      </c>
      <c r="Q47" s="1">
        <v>0.4849</v>
      </c>
      <c r="R47" s="1">
        <v>-0.67830000000000001</v>
      </c>
      <c r="S47" s="1">
        <v>1.9E-2</v>
      </c>
      <c r="T47" s="1">
        <v>1.9927999999999999</v>
      </c>
      <c r="U47" s="1">
        <v>2.7397999999999998</v>
      </c>
      <c r="V47" s="1">
        <v>2.0968</v>
      </c>
      <c r="W47" s="1">
        <v>100.1</v>
      </c>
      <c r="X47" s="1">
        <v>1</v>
      </c>
      <c r="Y47" s="1">
        <v>1.4192</v>
      </c>
      <c r="AA47" s="1">
        <v>0.73209999999999997</v>
      </c>
      <c r="AB47" s="1">
        <v>-0.95540000000000003</v>
      </c>
      <c r="AC47" s="1">
        <v>0.22969999999999999</v>
      </c>
      <c r="AD47" s="1">
        <v>4.1548999999999996</v>
      </c>
      <c r="AE47" s="1">
        <v>5.0902000000000003</v>
      </c>
      <c r="AF47" s="1">
        <v>2.4557000000000002</v>
      </c>
    </row>
    <row r="48" spans="1:32" s="1" customFormat="1" ht="11.25" x14ac:dyDescent="0.2">
      <c r="A48" s="1">
        <v>31</v>
      </c>
      <c r="B48" s="1">
        <v>1</v>
      </c>
      <c r="C48" s="1">
        <v>24.9</v>
      </c>
      <c r="D48" s="1">
        <v>1</v>
      </c>
      <c r="E48" s="1">
        <v>1.9698</v>
      </c>
      <c r="F48" s="1">
        <v>0.7843</v>
      </c>
      <c r="G48" s="1">
        <v>0.50109999999999999</v>
      </c>
      <c r="H48" s="1">
        <v>-0.52390000000000003</v>
      </c>
      <c r="I48" s="1">
        <v>1.2999999999999999E-3</v>
      </c>
      <c r="J48" s="1">
        <v>3.4148000000000001</v>
      </c>
      <c r="K48" s="1">
        <v>4.2526000000000002</v>
      </c>
      <c r="L48" s="1">
        <v>1.8487</v>
      </c>
      <c r="M48" s="1">
        <v>-55.2</v>
      </c>
      <c r="N48" s="1">
        <v>1</v>
      </c>
      <c r="O48" s="1">
        <v>2.371</v>
      </c>
      <c r="P48" s="1">
        <v>0.90080000000000005</v>
      </c>
      <c r="Q48" s="1">
        <v>0.45939999999999998</v>
      </c>
      <c r="R48" s="1">
        <v>-0.66830000000000001</v>
      </c>
      <c r="S48" s="1">
        <v>2.2800000000000001E-2</v>
      </c>
      <c r="T48" s="1">
        <v>1.9766999999999999</v>
      </c>
      <c r="U48" s="1">
        <v>3.1909999999999998</v>
      </c>
      <c r="V48" s="1">
        <v>1.6883999999999999</v>
      </c>
      <c r="W48" s="1">
        <v>100.1</v>
      </c>
      <c r="X48" s="1">
        <v>1</v>
      </c>
      <c r="Y48" s="1">
        <v>1.4953000000000001</v>
      </c>
      <c r="AA48" s="1">
        <v>0.59489999999999998</v>
      </c>
      <c r="AB48" s="1">
        <v>-0.86360000000000003</v>
      </c>
      <c r="AC48" s="1">
        <v>0.18360000000000001</v>
      </c>
      <c r="AD48" s="1">
        <v>4.0228000000000002</v>
      </c>
      <c r="AE48" s="1">
        <v>5.3975999999999997</v>
      </c>
      <c r="AF48" s="1">
        <v>2.0171999999999999</v>
      </c>
    </row>
    <row r="49" spans="1:32" s="1" customFormat="1" ht="11.25" x14ac:dyDescent="0.2">
      <c r="A49" s="1">
        <v>32</v>
      </c>
      <c r="B49" s="1">
        <v>1</v>
      </c>
      <c r="C49" s="1">
        <v>24.9</v>
      </c>
      <c r="D49" s="1">
        <v>1</v>
      </c>
      <c r="E49" s="1">
        <v>2.0468000000000002</v>
      </c>
      <c r="F49" s="1">
        <v>0.78249999999999997</v>
      </c>
      <c r="G49" s="1">
        <v>0.65620000000000001</v>
      </c>
      <c r="H49" s="1">
        <v>-0.76480000000000004</v>
      </c>
      <c r="I49" s="1">
        <v>1.4E-3</v>
      </c>
      <c r="J49" s="1">
        <v>3.3689</v>
      </c>
      <c r="K49" s="1">
        <v>3.8064</v>
      </c>
      <c r="L49" s="1">
        <v>1.8361000000000001</v>
      </c>
      <c r="M49" s="1">
        <v>-55.1</v>
      </c>
      <c r="N49" s="1">
        <v>1</v>
      </c>
      <c r="O49" s="1">
        <v>2.4794</v>
      </c>
      <c r="P49" s="1">
        <v>0.89910000000000001</v>
      </c>
      <c r="Q49" s="1">
        <v>0.36380000000000001</v>
      </c>
      <c r="R49" s="1">
        <v>-0.4733</v>
      </c>
      <c r="S49" s="1">
        <v>0.02</v>
      </c>
      <c r="T49" s="1">
        <v>1.8959999999999999</v>
      </c>
      <c r="U49" s="1">
        <v>2.7456</v>
      </c>
      <c r="V49" s="1">
        <v>1.6757</v>
      </c>
      <c r="W49" s="1">
        <v>100.2</v>
      </c>
      <c r="X49" s="1">
        <v>1</v>
      </c>
      <c r="Y49" s="1">
        <v>1.5274000000000001</v>
      </c>
      <c r="AA49" s="1">
        <v>0.77480000000000004</v>
      </c>
      <c r="AB49" s="1">
        <v>-0.9647</v>
      </c>
      <c r="AC49" s="1">
        <v>0.2009</v>
      </c>
      <c r="AD49" s="1">
        <v>3.9876999999999998</v>
      </c>
      <c r="AE49" s="1">
        <v>5.0278</v>
      </c>
      <c r="AF49" s="1">
        <v>2.004</v>
      </c>
    </row>
    <row r="50" spans="1:32" s="1" customFormat="1" ht="11.25" x14ac:dyDescent="0.2">
      <c r="A50" s="1">
        <v>33</v>
      </c>
      <c r="B50" s="1">
        <v>1</v>
      </c>
      <c r="C50" s="1">
        <v>24.9</v>
      </c>
      <c r="D50" s="1">
        <v>1</v>
      </c>
      <c r="E50" s="1">
        <v>1.9311</v>
      </c>
      <c r="F50" s="1">
        <v>0.77459999999999996</v>
      </c>
      <c r="G50" s="1">
        <v>0.63160000000000005</v>
      </c>
      <c r="H50" s="1">
        <v>-0.76480000000000004</v>
      </c>
      <c r="I50" s="1">
        <v>1.6000000000000001E-3</v>
      </c>
      <c r="J50" s="1">
        <v>3.4540999999999999</v>
      </c>
      <c r="K50" s="1">
        <v>3.8279000000000001</v>
      </c>
      <c r="L50" s="1">
        <v>2.2404999999999999</v>
      </c>
      <c r="M50" s="1">
        <v>-55.3</v>
      </c>
      <c r="N50" s="1">
        <v>1</v>
      </c>
      <c r="O50" s="1">
        <v>2.3513000000000002</v>
      </c>
      <c r="P50" s="1">
        <v>0.89400000000000002</v>
      </c>
      <c r="Q50" s="1">
        <v>0.56299999999999994</v>
      </c>
      <c r="R50" s="1">
        <v>-0.59870000000000001</v>
      </c>
      <c r="S50" s="1">
        <v>2.0899999999999998E-2</v>
      </c>
      <c r="T50" s="1">
        <v>1.9853000000000001</v>
      </c>
      <c r="U50" s="1">
        <v>2.7326999999999999</v>
      </c>
      <c r="V50" s="1">
        <v>2.0657999999999999</v>
      </c>
      <c r="W50" s="1">
        <v>100</v>
      </c>
      <c r="X50" s="1">
        <v>1</v>
      </c>
      <c r="Y50" s="1">
        <v>1.4259999999999999</v>
      </c>
      <c r="AA50" s="1">
        <v>0.50419999999999998</v>
      </c>
      <c r="AB50" s="1">
        <v>-0.69330000000000003</v>
      </c>
      <c r="AC50" s="1">
        <v>0.2293</v>
      </c>
      <c r="AD50" s="1">
        <v>4.1073000000000004</v>
      </c>
      <c r="AE50" s="1">
        <v>5.0629</v>
      </c>
      <c r="AF50" s="1">
        <v>2.4245999999999999</v>
      </c>
    </row>
    <row r="51" spans="1:32" s="1" customFormat="1" ht="11.25" x14ac:dyDescent="0.2">
      <c r="A51" s="1">
        <v>34</v>
      </c>
      <c r="B51" s="1">
        <v>15</v>
      </c>
      <c r="C51" s="1">
        <v>25.1</v>
      </c>
      <c r="D51" s="1">
        <v>1</v>
      </c>
      <c r="E51" s="1">
        <v>2.3054000000000001</v>
      </c>
      <c r="F51" s="1">
        <v>0.79069999999999996</v>
      </c>
      <c r="G51" s="1">
        <v>0.3105</v>
      </c>
      <c r="H51" s="1">
        <v>-0.3367</v>
      </c>
      <c r="I51" s="1">
        <v>1.6000000000000001E-3</v>
      </c>
      <c r="J51" s="1">
        <v>3.4687999999999999</v>
      </c>
      <c r="K51" s="1">
        <v>4.1680000000000001</v>
      </c>
      <c r="L51" s="1">
        <v>1.8302</v>
      </c>
      <c r="M51" s="1">
        <v>-55.2</v>
      </c>
      <c r="N51" s="1">
        <v>1</v>
      </c>
      <c r="O51" s="1">
        <v>2.7881999999999998</v>
      </c>
      <c r="P51" s="1">
        <v>0.90510000000000002</v>
      </c>
      <c r="Q51" s="1">
        <v>0.24199999999999999</v>
      </c>
      <c r="R51" s="1">
        <v>-0.30149999999999999</v>
      </c>
      <c r="S51" s="1">
        <v>1.95E-2</v>
      </c>
      <c r="T51" s="1">
        <v>1.9942</v>
      </c>
      <c r="U51" s="1">
        <v>3.1934</v>
      </c>
      <c r="V51" s="1">
        <v>1.6677999999999999</v>
      </c>
      <c r="W51" s="1">
        <v>100.1</v>
      </c>
      <c r="X51" s="1">
        <v>1</v>
      </c>
      <c r="Y51" s="1">
        <v>1.7339</v>
      </c>
      <c r="AA51" s="1">
        <v>0.81130000000000002</v>
      </c>
      <c r="AB51" s="1">
        <v>-0.99680000000000002</v>
      </c>
      <c r="AC51" s="1">
        <v>0.14280000000000001</v>
      </c>
      <c r="AD51" s="1">
        <v>4.0762</v>
      </c>
      <c r="AE51" s="1">
        <v>5.2846000000000002</v>
      </c>
      <c r="AF51" s="1">
        <v>1.9877</v>
      </c>
    </row>
    <row r="52" spans="1:32" s="1" customFormat="1" ht="11.25" x14ac:dyDescent="0.2">
      <c r="A52" s="1">
        <v>35</v>
      </c>
      <c r="B52" s="1">
        <v>1</v>
      </c>
      <c r="C52" s="1">
        <v>24.9</v>
      </c>
      <c r="D52" s="1">
        <v>1</v>
      </c>
      <c r="E52" s="1">
        <v>1.9267000000000001</v>
      </c>
      <c r="F52" s="1">
        <v>0.77559999999999996</v>
      </c>
      <c r="G52" s="1">
        <v>0.63660000000000005</v>
      </c>
      <c r="H52" s="1">
        <v>-0.70650000000000002</v>
      </c>
      <c r="I52" s="1">
        <v>1.6000000000000001E-3</v>
      </c>
      <c r="J52" s="1">
        <v>3.4817999999999998</v>
      </c>
      <c r="K52" s="1">
        <v>3.8885000000000001</v>
      </c>
      <c r="L52" s="1">
        <v>2.2549000000000001</v>
      </c>
      <c r="M52" s="1">
        <v>-55.2</v>
      </c>
      <c r="N52" s="1">
        <v>1</v>
      </c>
      <c r="O52" s="1">
        <v>2.3361000000000001</v>
      </c>
      <c r="P52" s="1">
        <v>0.89500000000000002</v>
      </c>
      <c r="Q52" s="1">
        <v>0.53180000000000005</v>
      </c>
      <c r="R52" s="1">
        <v>-0.52859999999999996</v>
      </c>
      <c r="S52" s="1">
        <v>2.1100000000000001E-2</v>
      </c>
      <c r="T52" s="1">
        <v>1.9936</v>
      </c>
      <c r="U52" s="1">
        <v>2.7959999999999998</v>
      </c>
      <c r="V52" s="1">
        <v>2.081</v>
      </c>
      <c r="W52" s="1">
        <v>100</v>
      </c>
      <c r="X52" s="1">
        <v>1</v>
      </c>
      <c r="Y52" s="1">
        <v>1.4295</v>
      </c>
      <c r="AA52" s="1">
        <v>0.7661</v>
      </c>
      <c r="AB52" s="1">
        <v>-0.99390000000000001</v>
      </c>
      <c r="AC52" s="1">
        <v>0.22689999999999999</v>
      </c>
      <c r="AD52" s="1">
        <v>4.1481000000000003</v>
      </c>
      <c r="AE52" s="1">
        <v>5.1475</v>
      </c>
      <c r="AF52" s="1">
        <v>2.4403999999999999</v>
      </c>
    </row>
    <row r="53" spans="1:32" s="1" customFormat="1" ht="11.25" x14ac:dyDescent="0.2">
      <c r="A53" s="1">
        <v>36</v>
      </c>
      <c r="B53" s="1">
        <v>1</v>
      </c>
      <c r="C53" s="1">
        <v>24.9</v>
      </c>
      <c r="D53" s="1">
        <v>1</v>
      </c>
      <c r="E53" s="1">
        <v>2.0192000000000001</v>
      </c>
      <c r="F53" s="1">
        <v>0.7792</v>
      </c>
      <c r="G53" s="1">
        <v>0.55759999999999998</v>
      </c>
      <c r="H53" s="1">
        <v>-0.72240000000000004</v>
      </c>
      <c r="I53" s="1">
        <v>1.2999999999999999E-3</v>
      </c>
      <c r="J53" s="1">
        <v>3.3565999999999998</v>
      </c>
      <c r="K53" s="1">
        <v>3.8237000000000001</v>
      </c>
      <c r="L53" s="1">
        <v>1.9913000000000001</v>
      </c>
      <c r="M53" s="1">
        <v>-55.3</v>
      </c>
      <c r="N53" s="1">
        <v>1</v>
      </c>
      <c r="O53" s="1">
        <v>2.4376000000000002</v>
      </c>
      <c r="P53" s="1">
        <v>0.89729999999999999</v>
      </c>
      <c r="Q53" s="1">
        <v>0.41160000000000002</v>
      </c>
      <c r="R53" s="1">
        <v>-0.58609999999999995</v>
      </c>
      <c r="S53" s="1">
        <v>1.7600000000000001E-2</v>
      </c>
      <c r="T53" s="1">
        <v>1.9114</v>
      </c>
      <c r="U53" s="1">
        <v>2.7486999999999999</v>
      </c>
      <c r="V53" s="1">
        <v>1.8249</v>
      </c>
      <c r="W53" s="1">
        <v>100.1</v>
      </c>
      <c r="X53" s="1">
        <v>1</v>
      </c>
      <c r="Y53" s="1">
        <v>1.5116000000000001</v>
      </c>
      <c r="AA53" s="1">
        <v>0.70289999999999997</v>
      </c>
      <c r="AB53" s="1">
        <v>-0.75870000000000004</v>
      </c>
      <c r="AC53" s="1">
        <v>0.21560000000000001</v>
      </c>
      <c r="AD53" s="1">
        <v>4.0042</v>
      </c>
      <c r="AE53" s="1">
        <v>5.0473999999999997</v>
      </c>
      <c r="AF53" s="1">
        <v>2.1667000000000001</v>
      </c>
    </row>
    <row r="54" spans="1:32" s="1" customFormat="1" ht="11.25" x14ac:dyDescent="0.2">
      <c r="A54" s="1">
        <v>37</v>
      </c>
      <c r="B54" s="1">
        <v>1</v>
      </c>
      <c r="C54" s="1">
        <v>24.9</v>
      </c>
      <c r="D54" s="1">
        <v>1</v>
      </c>
      <c r="E54" s="1">
        <v>1.9317</v>
      </c>
      <c r="F54" s="1">
        <v>0.77459999999999996</v>
      </c>
      <c r="G54" s="1">
        <v>0.41289999999999999</v>
      </c>
      <c r="H54" s="1">
        <v>-0.50670000000000004</v>
      </c>
      <c r="I54" s="1">
        <v>1.6999999999999999E-3</v>
      </c>
      <c r="J54" s="1">
        <v>3.5158999999999998</v>
      </c>
      <c r="K54" s="1">
        <v>3.88</v>
      </c>
      <c r="L54" s="1">
        <v>2.2452999999999999</v>
      </c>
      <c r="M54" s="1">
        <v>-55.2</v>
      </c>
      <c r="N54" s="1">
        <v>1</v>
      </c>
      <c r="O54" s="1">
        <v>2.3357999999999999</v>
      </c>
      <c r="P54" s="1">
        <v>0.89490000000000003</v>
      </c>
      <c r="Q54" s="1">
        <v>0.5847</v>
      </c>
      <c r="R54" s="1">
        <v>-0.61019999999999996</v>
      </c>
      <c r="S54" s="1">
        <v>1.95E-2</v>
      </c>
      <c r="T54" s="1">
        <v>2.0470000000000002</v>
      </c>
      <c r="U54" s="1">
        <v>2.7902999999999998</v>
      </c>
      <c r="V54" s="1">
        <v>2.0697999999999999</v>
      </c>
      <c r="W54" s="1">
        <v>100.2</v>
      </c>
      <c r="X54" s="1">
        <v>1</v>
      </c>
      <c r="Y54" s="1">
        <v>1.4362999999999999</v>
      </c>
      <c r="AA54" s="1">
        <v>0.53769999999999996</v>
      </c>
      <c r="AB54" s="1">
        <v>-0.73119999999999996</v>
      </c>
      <c r="AC54" s="1">
        <v>0.22689999999999999</v>
      </c>
      <c r="AD54" s="1">
        <v>4.1250999999999998</v>
      </c>
      <c r="AE54" s="1">
        <v>5.0921000000000003</v>
      </c>
      <c r="AF54" s="1">
        <v>2.4312</v>
      </c>
    </row>
    <row r="55" spans="1:32" s="1" customFormat="1" ht="11.25" x14ac:dyDescent="0.2">
      <c r="A55" s="1">
        <v>38</v>
      </c>
      <c r="B55" s="1">
        <v>15</v>
      </c>
      <c r="C55" s="1">
        <v>25</v>
      </c>
      <c r="D55" s="1">
        <v>1</v>
      </c>
      <c r="E55" s="1">
        <v>2.1627999999999998</v>
      </c>
      <c r="F55" s="1">
        <v>0.78720000000000001</v>
      </c>
      <c r="G55" s="1">
        <v>0.32500000000000001</v>
      </c>
      <c r="H55" s="1">
        <v>-0.33339999999999997</v>
      </c>
      <c r="I55" s="1">
        <v>1.6000000000000001E-3</v>
      </c>
      <c r="J55" s="1">
        <v>3.3351999999999999</v>
      </c>
      <c r="K55" s="1">
        <v>3.9624000000000001</v>
      </c>
      <c r="L55" s="1">
        <v>1.7403</v>
      </c>
      <c r="M55" s="1">
        <v>-55</v>
      </c>
      <c r="N55" s="1">
        <v>1</v>
      </c>
      <c r="O55" s="1">
        <v>2.6089000000000002</v>
      </c>
      <c r="P55" s="1">
        <v>0.90159999999999996</v>
      </c>
      <c r="Q55" s="1">
        <v>0.24429999999999999</v>
      </c>
      <c r="R55" s="1">
        <v>-0.25</v>
      </c>
      <c r="S55" s="1">
        <v>2.3599999999999999E-2</v>
      </c>
      <c r="T55" s="1">
        <v>1.9593</v>
      </c>
      <c r="U55" s="1">
        <v>2.9657</v>
      </c>
      <c r="V55" s="1">
        <v>1.5813999999999999</v>
      </c>
      <c r="W55" s="1">
        <v>100.1</v>
      </c>
      <c r="X55" s="1">
        <v>1</v>
      </c>
      <c r="Y55" s="1">
        <v>1.6398999999999999</v>
      </c>
      <c r="AA55" s="1">
        <v>0.65249999999999997</v>
      </c>
      <c r="AB55" s="1">
        <v>-0.88300000000000001</v>
      </c>
      <c r="AC55" s="1">
        <v>0.17019999999999999</v>
      </c>
      <c r="AD55" s="1">
        <v>3.9594</v>
      </c>
      <c r="AE55" s="1">
        <v>5.1441999999999997</v>
      </c>
      <c r="AF55" s="1">
        <v>1.8996999999999999</v>
      </c>
    </row>
    <row r="56" spans="1:32" s="1" customFormat="1" ht="11.25" x14ac:dyDescent="0.2">
      <c r="A56" s="1">
        <v>39</v>
      </c>
      <c r="B56" s="1">
        <v>1</v>
      </c>
      <c r="C56" s="1">
        <v>24.9</v>
      </c>
      <c r="D56" s="1">
        <v>1</v>
      </c>
      <c r="E56" s="1">
        <v>1.9196</v>
      </c>
      <c r="F56" s="1">
        <v>0.78049999999999997</v>
      </c>
      <c r="G56" s="1">
        <v>0.45150000000000001</v>
      </c>
      <c r="H56" s="1">
        <v>-0.70760000000000001</v>
      </c>
      <c r="I56" s="1">
        <v>1.6000000000000001E-3</v>
      </c>
      <c r="J56" s="1">
        <v>3.4701</v>
      </c>
      <c r="K56" s="1">
        <v>4.0187999999999997</v>
      </c>
      <c r="L56" s="1">
        <v>2.0139999999999998</v>
      </c>
      <c r="M56" s="1">
        <v>-55.2</v>
      </c>
      <c r="N56" s="1">
        <v>1</v>
      </c>
      <c r="O56" s="1">
        <v>2.3159999999999998</v>
      </c>
      <c r="P56" s="1">
        <v>0.89849999999999997</v>
      </c>
      <c r="Q56" s="1">
        <v>0.40250000000000002</v>
      </c>
      <c r="R56" s="1">
        <v>-0.44919999999999999</v>
      </c>
      <c r="S56" s="1">
        <v>2.0299999999999999E-2</v>
      </c>
      <c r="T56" s="1">
        <v>1.9958</v>
      </c>
      <c r="U56" s="1">
        <v>2.9649999999999999</v>
      </c>
      <c r="V56" s="1">
        <v>1.8458000000000001</v>
      </c>
      <c r="W56" s="1">
        <v>100.2</v>
      </c>
      <c r="X56" s="1">
        <v>1</v>
      </c>
      <c r="Y56" s="1">
        <v>1.4475</v>
      </c>
      <c r="AA56" s="1">
        <v>0.7147</v>
      </c>
      <c r="AB56" s="1">
        <v>-0.79330000000000001</v>
      </c>
      <c r="AC56" s="1">
        <v>0.20369999999999999</v>
      </c>
      <c r="AD56" s="1">
        <v>4.0613000000000001</v>
      </c>
      <c r="AE56" s="1">
        <v>5.1772</v>
      </c>
      <c r="AF56" s="1">
        <v>2.1898</v>
      </c>
    </row>
    <row r="57" spans="1:32" s="1" customFormat="1" ht="11.25" x14ac:dyDescent="0.2">
      <c r="A57" s="1">
        <v>40</v>
      </c>
      <c r="B57" s="1">
        <v>1</v>
      </c>
      <c r="C57" s="1">
        <v>25</v>
      </c>
      <c r="D57" s="1">
        <v>1</v>
      </c>
      <c r="E57" s="1">
        <v>1.9842</v>
      </c>
      <c r="F57" s="1">
        <v>0.78580000000000005</v>
      </c>
      <c r="G57" s="1">
        <v>0.64390000000000003</v>
      </c>
      <c r="H57" s="1">
        <v>-0.76339999999999997</v>
      </c>
      <c r="I57" s="1">
        <v>1.5E-3</v>
      </c>
      <c r="J57" s="1">
        <v>3.3921999999999999</v>
      </c>
      <c r="K57" s="1">
        <v>4.3090999999999999</v>
      </c>
      <c r="L57" s="1">
        <v>1.7785</v>
      </c>
      <c r="M57" s="1">
        <v>-55.2</v>
      </c>
      <c r="N57" s="1">
        <v>1</v>
      </c>
      <c r="O57" s="1">
        <v>2.3883000000000001</v>
      </c>
      <c r="P57" s="1">
        <v>0.90210000000000001</v>
      </c>
      <c r="Q57" s="1">
        <v>0.3851</v>
      </c>
      <c r="R57" s="1">
        <v>-0.4471</v>
      </c>
      <c r="S57" s="1">
        <v>2.23E-2</v>
      </c>
      <c r="T57" s="1">
        <v>1.9036999999999999</v>
      </c>
      <c r="U57" s="1">
        <v>3.1358999999999999</v>
      </c>
      <c r="V57" s="1">
        <v>1.6191</v>
      </c>
      <c r="W57" s="1">
        <v>100.1</v>
      </c>
      <c r="X57" s="1">
        <v>1</v>
      </c>
      <c r="Y57" s="1">
        <v>1.5062</v>
      </c>
      <c r="AA57" s="1">
        <v>0.52610000000000001</v>
      </c>
      <c r="AB57" s="1">
        <v>-0.74790000000000001</v>
      </c>
      <c r="AC57" s="1">
        <v>0.19320000000000001</v>
      </c>
      <c r="AD57" s="1">
        <v>3.9796999999999998</v>
      </c>
      <c r="AE57" s="1">
        <v>5.4991000000000003</v>
      </c>
      <c r="AF57" s="1">
        <v>1.9438</v>
      </c>
    </row>
    <row r="58" spans="1:32" s="1" customFormat="1" ht="11.25" x14ac:dyDescent="0.2">
      <c r="A58" s="1">
        <v>41</v>
      </c>
      <c r="B58" s="1">
        <v>1</v>
      </c>
      <c r="C58" s="1">
        <v>25</v>
      </c>
      <c r="D58" s="1">
        <v>1</v>
      </c>
      <c r="E58" s="1">
        <v>2.0238999999999998</v>
      </c>
      <c r="F58" s="1">
        <v>0.77529999999999999</v>
      </c>
      <c r="G58" s="1">
        <v>0.55410000000000004</v>
      </c>
      <c r="H58" s="1">
        <v>-0.54200000000000004</v>
      </c>
      <c r="I58" s="1">
        <v>1.5E-3</v>
      </c>
      <c r="J58" s="1">
        <v>3.4478</v>
      </c>
      <c r="K58" s="1">
        <v>3.8660000000000001</v>
      </c>
      <c r="L58" s="1">
        <v>2.2652000000000001</v>
      </c>
      <c r="M58" s="1">
        <v>-55.3</v>
      </c>
      <c r="N58" s="1">
        <v>1</v>
      </c>
      <c r="O58" s="1">
        <v>2.4615</v>
      </c>
      <c r="P58" s="1">
        <v>0.89480000000000004</v>
      </c>
      <c r="Q58" s="1">
        <v>0.53</v>
      </c>
      <c r="R58" s="1">
        <v>-0.47560000000000002</v>
      </c>
      <c r="S58" s="1">
        <v>2.18E-2</v>
      </c>
      <c r="T58" s="1">
        <v>1.9821</v>
      </c>
      <c r="U58" s="1">
        <v>2.7686999999999999</v>
      </c>
      <c r="V58" s="1">
        <v>2.09</v>
      </c>
      <c r="W58" s="1">
        <v>99.9</v>
      </c>
      <c r="X58" s="1">
        <v>1</v>
      </c>
      <c r="Y58" s="1">
        <v>1.5014000000000001</v>
      </c>
      <c r="AA58" s="1">
        <v>0.74070000000000003</v>
      </c>
      <c r="AB58" s="1">
        <v>-0.83560000000000001</v>
      </c>
      <c r="AC58" s="1">
        <v>0.21759999999999999</v>
      </c>
      <c r="AD58" s="1">
        <v>4.1421999999999999</v>
      </c>
      <c r="AE58" s="1">
        <v>5.1119000000000003</v>
      </c>
      <c r="AF58" s="1">
        <v>2.4523000000000001</v>
      </c>
    </row>
    <row r="59" spans="1:32" s="1" customFormat="1" ht="11.25" x14ac:dyDescent="0.2">
      <c r="A59" s="1">
        <v>42</v>
      </c>
      <c r="B59" s="1">
        <v>15</v>
      </c>
      <c r="C59" s="1">
        <v>25</v>
      </c>
      <c r="D59" s="1">
        <v>1</v>
      </c>
      <c r="E59" s="1">
        <v>2.1619999999999999</v>
      </c>
      <c r="F59" s="1">
        <v>0.78469999999999995</v>
      </c>
      <c r="G59" s="1">
        <v>0.3256</v>
      </c>
      <c r="H59" s="1">
        <v>-0.38990000000000002</v>
      </c>
      <c r="I59" s="1">
        <v>1.6000000000000001E-3</v>
      </c>
      <c r="J59" s="1">
        <v>3.4262999999999999</v>
      </c>
      <c r="K59" s="1">
        <v>3.9291999999999998</v>
      </c>
      <c r="L59" s="1">
        <v>1.8367</v>
      </c>
      <c r="M59" s="1">
        <v>-55</v>
      </c>
      <c r="N59" s="1">
        <v>1</v>
      </c>
      <c r="O59" s="1">
        <v>2.6248999999999998</v>
      </c>
      <c r="P59" s="1">
        <v>0.89890000000000003</v>
      </c>
      <c r="Q59" s="1">
        <v>0.25380000000000003</v>
      </c>
      <c r="R59" s="1">
        <v>-0.28839999999999999</v>
      </c>
      <c r="S59" s="1">
        <v>2.3900000000000001E-2</v>
      </c>
      <c r="T59" s="1">
        <v>2.0554000000000001</v>
      </c>
      <c r="U59" s="1">
        <v>2.9331999999999998</v>
      </c>
      <c r="V59" s="1">
        <v>1.6766000000000001</v>
      </c>
      <c r="W59" s="1">
        <v>99.8</v>
      </c>
      <c r="X59" s="1">
        <v>1</v>
      </c>
      <c r="Y59" s="1">
        <v>1.6378999999999999</v>
      </c>
      <c r="AA59" s="1">
        <v>0.66020000000000001</v>
      </c>
      <c r="AB59" s="1">
        <v>-0.90359999999999996</v>
      </c>
      <c r="AC59" s="1">
        <v>0.14460000000000001</v>
      </c>
      <c r="AD59" s="1">
        <v>4.0594999999999999</v>
      </c>
      <c r="AE59" s="1">
        <v>5.1357999999999997</v>
      </c>
      <c r="AF59" s="1">
        <v>1.998</v>
      </c>
    </row>
    <row r="60" spans="1:32" s="1" customFormat="1" ht="11.25" x14ac:dyDescent="0.2">
      <c r="A60" s="1">
        <v>43</v>
      </c>
      <c r="B60" s="1">
        <v>1</v>
      </c>
      <c r="C60" s="1">
        <v>24.8</v>
      </c>
      <c r="D60" s="1">
        <v>1</v>
      </c>
      <c r="E60" s="1">
        <v>1.9367000000000001</v>
      </c>
      <c r="F60" s="1">
        <v>0.77869999999999995</v>
      </c>
      <c r="G60" s="1">
        <v>0.38979999999999998</v>
      </c>
      <c r="H60" s="1">
        <v>-0.55169999999999997</v>
      </c>
      <c r="I60" s="1">
        <v>1.6000000000000001E-3</v>
      </c>
      <c r="J60" s="1">
        <v>3.4508000000000001</v>
      </c>
      <c r="K60" s="1">
        <v>3.9660000000000002</v>
      </c>
      <c r="L60" s="1">
        <v>2.1349999999999998</v>
      </c>
      <c r="M60" s="1">
        <v>-55.2</v>
      </c>
      <c r="N60" s="1">
        <v>1</v>
      </c>
      <c r="O60" s="1">
        <v>2.3411</v>
      </c>
      <c r="P60" s="1">
        <v>0.89710000000000001</v>
      </c>
      <c r="Q60" s="1">
        <v>0.52339999999999998</v>
      </c>
      <c r="R60" s="1">
        <v>-0.70299999999999996</v>
      </c>
      <c r="S60" s="1">
        <v>1.7999999999999999E-2</v>
      </c>
      <c r="T60" s="1">
        <v>1.9938</v>
      </c>
      <c r="U60" s="1">
        <v>2.8883999999999999</v>
      </c>
      <c r="V60" s="1">
        <v>1.9634</v>
      </c>
      <c r="W60" s="1">
        <v>100</v>
      </c>
      <c r="X60" s="1">
        <v>1</v>
      </c>
      <c r="Y60" s="1">
        <v>1.4513</v>
      </c>
      <c r="AA60" s="1">
        <v>0.54490000000000005</v>
      </c>
      <c r="AB60" s="1">
        <v>-0.85729999999999995</v>
      </c>
      <c r="AC60" s="1">
        <v>0.20630000000000001</v>
      </c>
      <c r="AD60" s="1">
        <v>4.3624999999999998</v>
      </c>
      <c r="AE60" s="1">
        <v>5.1779000000000002</v>
      </c>
      <c r="AF60" s="1">
        <v>2.3138999999999998</v>
      </c>
    </row>
    <row r="61" spans="1:32" s="1" customFormat="1" ht="11.25" x14ac:dyDescent="0.2">
      <c r="A61" s="1">
        <v>45</v>
      </c>
      <c r="B61" s="1">
        <v>1</v>
      </c>
      <c r="C61" s="1">
        <v>25</v>
      </c>
      <c r="D61" s="1">
        <v>1</v>
      </c>
      <c r="E61" s="1">
        <v>2.0402</v>
      </c>
      <c r="F61" s="1">
        <v>0.7792</v>
      </c>
      <c r="G61" s="1">
        <v>0.39069999999999999</v>
      </c>
      <c r="H61" s="1">
        <v>-0.59799999999999998</v>
      </c>
      <c r="I61" s="1">
        <v>1.4E-3</v>
      </c>
      <c r="J61" s="1">
        <v>3.4453</v>
      </c>
      <c r="K61" s="1">
        <v>3.8860000000000001</v>
      </c>
      <c r="L61" s="1">
        <v>2.0194000000000001</v>
      </c>
      <c r="M61" s="1">
        <v>-55.2</v>
      </c>
      <c r="N61" s="1">
        <v>1</v>
      </c>
      <c r="O61" s="1">
        <v>2.4901</v>
      </c>
      <c r="P61" s="1">
        <v>0.89729999999999999</v>
      </c>
      <c r="Q61" s="1">
        <v>0.6</v>
      </c>
      <c r="R61" s="1">
        <v>-0.69720000000000004</v>
      </c>
      <c r="S61" s="1">
        <v>2.1299999999999999E-2</v>
      </c>
      <c r="T61" s="1">
        <v>2.0007000000000001</v>
      </c>
      <c r="U61" s="1">
        <v>2.7932000000000001</v>
      </c>
      <c r="V61" s="1">
        <v>1.8512</v>
      </c>
      <c r="W61" s="1">
        <v>100.3</v>
      </c>
      <c r="X61" s="1">
        <v>1</v>
      </c>
      <c r="Y61" s="1">
        <v>1.5072000000000001</v>
      </c>
      <c r="AA61" s="1">
        <v>0.70640000000000003</v>
      </c>
      <c r="AB61" s="1">
        <v>-0.96240000000000003</v>
      </c>
      <c r="AC61" s="1">
        <v>0.21540000000000001</v>
      </c>
      <c r="AD61" s="1">
        <v>4.0494000000000003</v>
      </c>
      <c r="AE61" s="1">
        <v>5.0883000000000003</v>
      </c>
      <c r="AF61" s="1">
        <v>2.1936</v>
      </c>
    </row>
    <row r="62" spans="1:32" s="1" customFormat="1" ht="11.25" x14ac:dyDescent="0.2">
      <c r="A62" s="1">
        <v>46</v>
      </c>
      <c r="B62" s="1">
        <v>1</v>
      </c>
      <c r="C62" s="1">
        <v>24.9</v>
      </c>
      <c r="D62" s="1">
        <v>1</v>
      </c>
      <c r="E62" s="1">
        <v>2.0758000000000001</v>
      </c>
      <c r="F62" s="1">
        <v>0.78320000000000001</v>
      </c>
      <c r="G62" s="1">
        <v>0.4713</v>
      </c>
      <c r="H62" s="1">
        <v>-0.64880000000000004</v>
      </c>
      <c r="I62" s="1">
        <v>1.1999999999999999E-3</v>
      </c>
      <c r="J62" s="1">
        <v>3.411</v>
      </c>
      <c r="K62" s="1">
        <v>3.927</v>
      </c>
      <c r="L62" s="1">
        <v>1.9040999999999999</v>
      </c>
      <c r="M62" s="1">
        <v>-55.3</v>
      </c>
      <c r="N62" s="1">
        <v>1</v>
      </c>
      <c r="O62" s="1">
        <v>2.4761000000000002</v>
      </c>
      <c r="P62" s="1">
        <v>0.89129999999999998</v>
      </c>
      <c r="Q62" s="1">
        <v>0.39689999999999998</v>
      </c>
      <c r="R62" s="1">
        <v>-0.63039999999999996</v>
      </c>
      <c r="S62" s="1">
        <v>2.1499999999999998E-2</v>
      </c>
      <c r="T62" s="1">
        <v>1.9871000000000001</v>
      </c>
      <c r="U62" s="1">
        <v>2.9291999999999998</v>
      </c>
      <c r="V62" s="1">
        <v>1.752</v>
      </c>
      <c r="W62" s="1">
        <v>100.3</v>
      </c>
      <c r="X62" s="1">
        <v>1</v>
      </c>
      <c r="Y62" s="1">
        <v>1.6146</v>
      </c>
      <c r="AA62" s="1">
        <v>0.75770000000000004</v>
      </c>
      <c r="AB62" s="1">
        <v>-0.92969999999999997</v>
      </c>
      <c r="AC62" s="1">
        <v>0.1192</v>
      </c>
      <c r="AD62" s="1">
        <v>3.9453</v>
      </c>
      <c r="AE62" s="1">
        <v>5.0496999999999996</v>
      </c>
      <c r="AF62" s="1">
        <v>2.0613000000000001</v>
      </c>
    </row>
    <row r="63" spans="1:32" s="1" customFormat="1" ht="11.25" x14ac:dyDescent="0.2">
      <c r="A63" s="1">
        <v>47</v>
      </c>
      <c r="B63" s="1">
        <v>1</v>
      </c>
      <c r="C63" s="1">
        <v>24.9</v>
      </c>
      <c r="D63" s="1">
        <v>1</v>
      </c>
      <c r="E63" s="1">
        <v>2.0268000000000002</v>
      </c>
      <c r="F63" s="1">
        <v>0.77539999999999998</v>
      </c>
      <c r="G63" s="1">
        <v>0.46279999999999999</v>
      </c>
      <c r="H63" s="1">
        <v>-0.67079999999999995</v>
      </c>
      <c r="I63" s="1">
        <v>1.6000000000000001E-3</v>
      </c>
      <c r="J63" s="1">
        <v>3.4154</v>
      </c>
      <c r="K63" s="1">
        <v>3.8317999999999999</v>
      </c>
      <c r="L63" s="1">
        <v>2.2162999999999999</v>
      </c>
      <c r="M63" s="1">
        <v>-55.2</v>
      </c>
      <c r="N63" s="1">
        <v>1</v>
      </c>
      <c r="O63" s="1">
        <v>2.4685999999999999</v>
      </c>
      <c r="P63" s="1">
        <v>0.8952</v>
      </c>
      <c r="Q63" s="1">
        <v>0.45379999999999998</v>
      </c>
      <c r="R63" s="1">
        <v>-0.44469999999999998</v>
      </c>
      <c r="S63" s="1">
        <v>2.0500000000000001E-2</v>
      </c>
      <c r="T63" s="1">
        <v>1.9257</v>
      </c>
      <c r="U63" s="1">
        <v>2.7429000000000001</v>
      </c>
      <c r="V63" s="1">
        <v>2.0421</v>
      </c>
      <c r="W63" s="1">
        <v>100.1</v>
      </c>
      <c r="X63" s="1">
        <v>1</v>
      </c>
      <c r="Y63" s="1">
        <v>1.5011000000000001</v>
      </c>
      <c r="AA63" s="1">
        <v>0.6099</v>
      </c>
      <c r="AB63" s="1">
        <v>-0.95389999999999997</v>
      </c>
      <c r="AC63" s="1">
        <v>0.22409999999999999</v>
      </c>
      <c r="AD63" s="1">
        <v>4.069</v>
      </c>
      <c r="AE63" s="1">
        <v>5.0758999999999999</v>
      </c>
      <c r="AF63" s="1">
        <v>2.4013</v>
      </c>
    </row>
    <row r="64" spans="1:32" s="1" customFormat="1" ht="11.25" x14ac:dyDescent="0.2">
      <c r="A64" s="1">
        <v>48</v>
      </c>
      <c r="B64" s="1">
        <v>1</v>
      </c>
      <c r="C64" s="1">
        <v>25</v>
      </c>
      <c r="D64" s="1">
        <v>1</v>
      </c>
      <c r="E64" s="1">
        <v>1.9327000000000001</v>
      </c>
      <c r="F64" s="1">
        <v>0.77500000000000002</v>
      </c>
      <c r="G64" s="1">
        <v>0.51680000000000004</v>
      </c>
      <c r="H64" s="1">
        <v>-0.56559999999999999</v>
      </c>
      <c r="I64" s="1">
        <v>1.6000000000000001E-3</v>
      </c>
      <c r="J64" s="1">
        <v>3.5249000000000001</v>
      </c>
      <c r="K64" s="1">
        <v>3.8824999999999998</v>
      </c>
      <c r="L64" s="1">
        <v>2.3235000000000001</v>
      </c>
      <c r="M64" s="1">
        <v>-54.8</v>
      </c>
      <c r="N64" s="1">
        <v>1</v>
      </c>
      <c r="O64" s="1">
        <v>2.3534000000000002</v>
      </c>
      <c r="P64" s="1">
        <v>0.89300000000000002</v>
      </c>
      <c r="Q64" s="1">
        <v>0.65590000000000004</v>
      </c>
      <c r="R64" s="1">
        <v>-0.7873</v>
      </c>
      <c r="S64" s="1">
        <v>2.1000000000000001E-2</v>
      </c>
      <c r="T64" s="1">
        <v>2.0106999999999999</v>
      </c>
      <c r="U64" s="1">
        <v>2.7591999999999999</v>
      </c>
      <c r="V64" s="1">
        <v>2.1514000000000002</v>
      </c>
      <c r="W64" s="1">
        <v>100.3</v>
      </c>
      <c r="X64" s="1">
        <v>1</v>
      </c>
      <c r="Y64" s="1">
        <v>1.4244000000000001</v>
      </c>
      <c r="AA64" s="1">
        <v>0.74860000000000004</v>
      </c>
      <c r="AB64" s="1">
        <v>-0.9274</v>
      </c>
      <c r="AC64" s="1">
        <v>0.2235</v>
      </c>
      <c r="AD64" s="1">
        <v>4.1285999999999996</v>
      </c>
      <c r="AE64" s="1">
        <v>5.1191000000000004</v>
      </c>
      <c r="AF64" s="1">
        <v>2.5106000000000002</v>
      </c>
    </row>
    <row r="65" spans="1:32" s="1" customFormat="1" ht="11.25" x14ac:dyDescent="0.2">
      <c r="A65" s="1">
        <v>49</v>
      </c>
      <c r="B65" s="1">
        <v>1</v>
      </c>
      <c r="C65" s="1">
        <v>25</v>
      </c>
      <c r="D65" s="1">
        <v>1</v>
      </c>
      <c r="E65" s="1">
        <v>2.0510000000000002</v>
      </c>
      <c r="F65" s="1">
        <v>0.78039999999999998</v>
      </c>
      <c r="G65" s="1">
        <v>0.66600000000000004</v>
      </c>
      <c r="H65" s="1">
        <v>-0.79010000000000002</v>
      </c>
      <c r="I65" s="1">
        <v>1.6999999999999999E-3</v>
      </c>
      <c r="J65" s="1">
        <v>3.431</v>
      </c>
      <c r="K65" s="1">
        <v>3.9087000000000001</v>
      </c>
      <c r="L65" s="1">
        <v>2.0055999999999998</v>
      </c>
      <c r="M65" s="1">
        <v>-55.1</v>
      </c>
      <c r="N65" s="1">
        <v>1</v>
      </c>
      <c r="O65" s="1">
        <v>2.4731000000000001</v>
      </c>
      <c r="P65" s="1">
        <v>0.89790000000000003</v>
      </c>
      <c r="Q65" s="1">
        <v>0.41499999999999998</v>
      </c>
      <c r="R65" s="1">
        <v>-0.63380000000000003</v>
      </c>
      <c r="S65" s="1">
        <v>1.9300000000000001E-2</v>
      </c>
      <c r="T65" s="1">
        <v>1.9256</v>
      </c>
      <c r="U65" s="1">
        <v>2.8203</v>
      </c>
      <c r="V65" s="1">
        <v>1.8401000000000001</v>
      </c>
      <c r="W65" s="1">
        <v>100.2</v>
      </c>
      <c r="X65" s="1">
        <v>1</v>
      </c>
      <c r="Y65" s="1">
        <v>1.5396000000000001</v>
      </c>
      <c r="AA65" s="1">
        <v>0.57820000000000005</v>
      </c>
      <c r="AB65" s="1">
        <v>-0.76570000000000005</v>
      </c>
      <c r="AC65" s="1">
        <v>0.20669999999999999</v>
      </c>
      <c r="AD65" s="1">
        <v>4.0753000000000004</v>
      </c>
      <c r="AE65" s="1">
        <v>5.1242999999999999</v>
      </c>
      <c r="AF65" s="1">
        <v>2.1802000000000001</v>
      </c>
    </row>
    <row r="66" spans="1:32" s="1" customFormat="1" ht="11.25" x14ac:dyDescent="0.2">
      <c r="A66" s="1">
        <v>50</v>
      </c>
      <c r="B66" s="1">
        <v>1</v>
      </c>
      <c r="C66" s="1">
        <v>25</v>
      </c>
      <c r="D66" s="1">
        <v>1</v>
      </c>
      <c r="E66" s="1">
        <v>2.0550000000000002</v>
      </c>
      <c r="F66" s="1">
        <v>0.78120000000000001</v>
      </c>
      <c r="G66" s="1">
        <v>0.69620000000000004</v>
      </c>
      <c r="H66" s="1">
        <v>-0.74680000000000002</v>
      </c>
      <c r="I66" s="1">
        <v>1.2999999999999999E-3</v>
      </c>
      <c r="J66" s="1">
        <v>3.3681000000000001</v>
      </c>
      <c r="K66" s="1">
        <v>3.8243999999999998</v>
      </c>
      <c r="L66" s="1">
        <v>1.8138000000000001</v>
      </c>
      <c r="M66" s="1">
        <v>-55.3</v>
      </c>
      <c r="N66" s="1">
        <v>1</v>
      </c>
      <c r="O66" s="1">
        <v>2.4904000000000002</v>
      </c>
      <c r="P66" s="1">
        <v>0.89849999999999997</v>
      </c>
      <c r="Q66" s="1">
        <v>0.64459999999999995</v>
      </c>
      <c r="R66" s="1">
        <v>-0.75209999999999999</v>
      </c>
      <c r="S66" s="1">
        <v>1.9400000000000001E-2</v>
      </c>
      <c r="T66" s="1">
        <v>1.9268000000000001</v>
      </c>
      <c r="U66" s="1">
        <v>2.7892000000000001</v>
      </c>
      <c r="V66" s="1">
        <v>1.6537999999999999</v>
      </c>
      <c r="W66" s="1">
        <v>100.2</v>
      </c>
      <c r="X66" s="1">
        <v>1</v>
      </c>
      <c r="Y66" s="1">
        <v>1.5277000000000001</v>
      </c>
      <c r="AA66" s="1">
        <v>0.56259999999999999</v>
      </c>
      <c r="AB66" s="1">
        <v>-0.83850000000000002</v>
      </c>
      <c r="AC66" s="1">
        <v>0.2223</v>
      </c>
      <c r="AD66" s="1">
        <v>3.9870999999999999</v>
      </c>
      <c r="AE66" s="1">
        <v>5.0231000000000003</v>
      </c>
      <c r="AF66" s="1">
        <v>1.9783999999999999</v>
      </c>
    </row>
    <row r="67" spans="1:32" s="1" customFormat="1" ht="11.25" x14ac:dyDescent="0.2">
      <c r="A67" s="1">
        <v>51</v>
      </c>
      <c r="B67" s="1">
        <v>1</v>
      </c>
      <c r="C67" s="1">
        <v>24.9</v>
      </c>
      <c r="D67" s="1">
        <v>1</v>
      </c>
      <c r="E67" s="1">
        <v>2.0001000000000002</v>
      </c>
      <c r="F67" s="1">
        <v>0.77380000000000004</v>
      </c>
      <c r="G67" s="1">
        <v>0.51339999999999997</v>
      </c>
      <c r="H67" s="1">
        <v>-0.58030000000000004</v>
      </c>
      <c r="I67" s="1">
        <v>1.5E-3</v>
      </c>
      <c r="J67" s="1">
        <v>3.4525999999999999</v>
      </c>
      <c r="K67" s="1">
        <v>3.8727999999999998</v>
      </c>
      <c r="L67" s="1">
        <v>2.3003</v>
      </c>
      <c r="M67" s="1">
        <v>-55.3</v>
      </c>
      <c r="N67" s="1">
        <v>1</v>
      </c>
      <c r="O67" s="1">
        <v>2.4304000000000001</v>
      </c>
      <c r="P67" s="1">
        <v>0.89459999999999995</v>
      </c>
      <c r="Q67" s="1">
        <v>0.58889999999999998</v>
      </c>
      <c r="R67" s="1">
        <v>-0.60319999999999996</v>
      </c>
      <c r="S67" s="1">
        <v>2.0500000000000001E-2</v>
      </c>
      <c r="T67" s="1">
        <v>1.9428000000000001</v>
      </c>
      <c r="U67" s="1">
        <v>2.754</v>
      </c>
      <c r="V67" s="1">
        <v>2.1238000000000001</v>
      </c>
      <c r="W67" s="1">
        <v>100.3</v>
      </c>
      <c r="X67" s="1">
        <v>1</v>
      </c>
      <c r="Y67" s="1">
        <v>1.478</v>
      </c>
      <c r="AA67" s="1">
        <v>0.60519999999999996</v>
      </c>
      <c r="AB67" s="1">
        <v>-0.95489999999999997</v>
      </c>
      <c r="AC67" s="1">
        <v>0.2417</v>
      </c>
      <c r="AD67" s="1">
        <v>4.1223000000000001</v>
      </c>
      <c r="AE67" s="1">
        <v>5.1307</v>
      </c>
      <c r="AF67" s="1">
        <v>2.4876999999999998</v>
      </c>
    </row>
    <row r="68" spans="1:32" s="1" customFormat="1" ht="11.25" x14ac:dyDescent="0.2">
      <c r="A68" s="1">
        <v>52</v>
      </c>
      <c r="B68" s="1">
        <v>1</v>
      </c>
      <c r="C68" s="1">
        <v>24.9</v>
      </c>
      <c r="D68" s="1">
        <v>1</v>
      </c>
      <c r="E68" s="1">
        <v>2.0184000000000002</v>
      </c>
      <c r="F68" s="1">
        <v>0.78620000000000001</v>
      </c>
      <c r="G68" s="1">
        <v>0.43369999999999997</v>
      </c>
      <c r="H68" s="1">
        <v>-0.55879999999999996</v>
      </c>
      <c r="I68" s="1">
        <v>1.5E-3</v>
      </c>
      <c r="J68" s="1">
        <v>3.5177</v>
      </c>
      <c r="K68" s="1">
        <v>4.4526000000000003</v>
      </c>
      <c r="L68" s="1">
        <v>1.9919</v>
      </c>
      <c r="M68" s="1">
        <v>-55.1</v>
      </c>
      <c r="N68" s="1">
        <v>1</v>
      </c>
      <c r="O68" s="1">
        <v>2.4407000000000001</v>
      </c>
      <c r="P68" s="1">
        <v>0.90200000000000002</v>
      </c>
      <c r="Q68" s="1">
        <v>0.41139999999999999</v>
      </c>
      <c r="R68" s="1">
        <v>-0.4536</v>
      </c>
      <c r="S68" s="1">
        <v>2.2700000000000001E-2</v>
      </c>
      <c r="T68" s="1">
        <v>1.9918</v>
      </c>
      <c r="U68" s="1">
        <v>3.4390999999999998</v>
      </c>
      <c r="V68" s="1">
        <v>1.8271999999999999</v>
      </c>
      <c r="W68" s="1">
        <v>100.4</v>
      </c>
      <c r="X68" s="1">
        <v>1</v>
      </c>
      <c r="Y68" s="1">
        <v>1.5206</v>
      </c>
      <c r="AA68" s="1">
        <v>0.70409999999999995</v>
      </c>
      <c r="AB68" s="1">
        <v>-1.0361</v>
      </c>
      <c r="AC68" s="1">
        <v>0.17019999999999999</v>
      </c>
      <c r="AD68" s="1">
        <v>4.1036000000000001</v>
      </c>
      <c r="AE68" s="1">
        <v>5.577</v>
      </c>
      <c r="AF68" s="1">
        <v>2.1635</v>
      </c>
    </row>
    <row r="69" spans="1:32" s="1" customFormat="1" ht="11.25" x14ac:dyDescent="0.2">
      <c r="A69" s="1">
        <v>53</v>
      </c>
      <c r="B69" s="1">
        <v>1</v>
      </c>
      <c r="C69" s="1">
        <v>24.9</v>
      </c>
      <c r="D69" s="1">
        <v>1</v>
      </c>
      <c r="E69" s="1">
        <v>1.9686999999999999</v>
      </c>
      <c r="F69" s="1">
        <v>0.77349999999999997</v>
      </c>
      <c r="G69" s="1">
        <v>0.59040000000000004</v>
      </c>
      <c r="H69" s="1">
        <v>-0.55869999999999997</v>
      </c>
      <c r="I69" s="1">
        <v>1.8E-3</v>
      </c>
      <c r="J69" s="1">
        <v>3.4163000000000001</v>
      </c>
      <c r="K69" s="1">
        <v>3.8262</v>
      </c>
      <c r="L69" s="1">
        <v>2.2216</v>
      </c>
      <c r="M69" s="1">
        <v>-55.2</v>
      </c>
      <c r="N69" s="1">
        <v>1</v>
      </c>
      <c r="O69" s="1">
        <v>2.3948999999999998</v>
      </c>
      <c r="P69" s="1">
        <v>0.89380000000000004</v>
      </c>
      <c r="Q69" s="1">
        <v>0.40039999999999998</v>
      </c>
      <c r="R69" s="1">
        <v>-0.63009999999999999</v>
      </c>
      <c r="S69" s="1">
        <v>2.07E-2</v>
      </c>
      <c r="T69" s="1">
        <v>1.9229000000000001</v>
      </c>
      <c r="U69" s="1">
        <v>2.7071999999999998</v>
      </c>
      <c r="V69" s="1">
        <v>2.0453000000000001</v>
      </c>
      <c r="W69" s="1">
        <v>100.3</v>
      </c>
      <c r="X69" s="1">
        <v>1</v>
      </c>
      <c r="Y69" s="1">
        <v>1.4533</v>
      </c>
      <c r="AA69" s="1">
        <v>0.55840000000000001</v>
      </c>
      <c r="AB69" s="1">
        <v>-0.70730000000000004</v>
      </c>
      <c r="AC69" s="1">
        <v>0.25750000000000001</v>
      </c>
      <c r="AD69" s="1">
        <v>4.0819000000000001</v>
      </c>
      <c r="AE69" s="1">
        <v>5.0456000000000003</v>
      </c>
      <c r="AF69" s="1">
        <v>2.4077000000000002</v>
      </c>
    </row>
    <row r="70" spans="1:32" s="1" customFormat="1" ht="11.25" x14ac:dyDescent="0.2">
      <c r="A70" s="1">
        <v>54</v>
      </c>
      <c r="B70" s="1">
        <v>1</v>
      </c>
      <c r="C70" s="1">
        <v>25</v>
      </c>
      <c r="D70" s="1">
        <v>1</v>
      </c>
      <c r="E70" s="1">
        <v>1.9879</v>
      </c>
      <c r="F70" s="1">
        <v>0.77780000000000005</v>
      </c>
      <c r="G70" s="1">
        <v>0.61439999999999995</v>
      </c>
      <c r="H70" s="1">
        <v>-0.78039999999999998</v>
      </c>
      <c r="I70" s="1">
        <v>1.8E-3</v>
      </c>
      <c r="J70" s="1">
        <v>3.3904999999999998</v>
      </c>
      <c r="K70" s="1">
        <v>3.8576000000000001</v>
      </c>
      <c r="L70" s="1">
        <v>2.1263000000000001</v>
      </c>
      <c r="M70" s="1">
        <v>-55.2</v>
      </c>
      <c r="N70" s="1">
        <v>1</v>
      </c>
      <c r="O70" s="1">
        <v>2.4003999999999999</v>
      </c>
      <c r="P70" s="1">
        <v>0.89629999999999999</v>
      </c>
      <c r="Q70" s="1">
        <v>0.4526</v>
      </c>
      <c r="R70" s="1">
        <v>-0.52639999999999998</v>
      </c>
      <c r="S70" s="1">
        <v>0.02</v>
      </c>
      <c r="T70" s="1">
        <v>1.9308000000000001</v>
      </c>
      <c r="U70" s="1">
        <v>2.7755000000000001</v>
      </c>
      <c r="V70" s="1">
        <v>1.9544999999999999</v>
      </c>
      <c r="W70" s="1">
        <v>100.4</v>
      </c>
      <c r="X70" s="1">
        <v>1</v>
      </c>
      <c r="Y70" s="1">
        <v>1.4823999999999999</v>
      </c>
      <c r="AA70" s="1">
        <v>0.69440000000000002</v>
      </c>
      <c r="AB70" s="1">
        <v>-0.91890000000000005</v>
      </c>
      <c r="AC70" s="1">
        <v>0.21940000000000001</v>
      </c>
      <c r="AD70" s="1">
        <v>4.0579999999999998</v>
      </c>
      <c r="AE70" s="1">
        <v>5.0667</v>
      </c>
      <c r="AF70" s="1">
        <v>2.3058000000000001</v>
      </c>
    </row>
    <row r="71" spans="1:32" s="1" customFormat="1" ht="11.25" x14ac:dyDescent="0.2">
      <c r="A71" s="1">
        <v>55</v>
      </c>
      <c r="B71" s="1">
        <v>1</v>
      </c>
      <c r="C71" s="1">
        <v>24.9</v>
      </c>
      <c r="D71" s="1">
        <v>1</v>
      </c>
      <c r="E71" s="1">
        <v>1.9535</v>
      </c>
      <c r="F71" s="1">
        <v>0.77480000000000004</v>
      </c>
      <c r="G71" s="1">
        <v>0.64070000000000005</v>
      </c>
      <c r="H71" s="1">
        <v>-0.8034</v>
      </c>
      <c r="I71" s="1">
        <v>1.5E-3</v>
      </c>
      <c r="J71" s="1">
        <v>3.3767999999999998</v>
      </c>
      <c r="K71" s="1">
        <v>3.7673000000000001</v>
      </c>
      <c r="L71" s="1">
        <v>2.0817999999999999</v>
      </c>
      <c r="M71" s="1">
        <v>-55.2</v>
      </c>
      <c r="N71" s="1">
        <v>1</v>
      </c>
      <c r="O71" s="1">
        <v>2.3855</v>
      </c>
      <c r="P71" s="1">
        <v>0.89470000000000005</v>
      </c>
      <c r="Q71" s="1">
        <v>0.40689999999999998</v>
      </c>
      <c r="R71" s="1">
        <v>-0.63070000000000004</v>
      </c>
      <c r="S71" s="1">
        <v>1.95E-2</v>
      </c>
      <c r="T71" s="1">
        <v>1.917</v>
      </c>
      <c r="U71" s="1">
        <v>2.6827999999999999</v>
      </c>
      <c r="V71" s="1">
        <v>1.9119999999999999</v>
      </c>
      <c r="W71" s="1">
        <v>100.5</v>
      </c>
      <c r="X71" s="1">
        <v>1</v>
      </c>
      <c r="Y71" s="1">
        <v>1.4369000000000001</v>
      </c>
      <c r="AA71" s="1">
        <v>0.52800000000000002</v>
      </c>
      <c r="AB71" s="1">
        <v>-0.70609999999999995</v>
      </c>
      <c r="AC71" s="1">
        <v>0.25259999999999999</v>
      </c>
      <c r="AD71" s="1">
        <v>4.0191999999999997</v>
      </c>
      <c r="AE71" s="1">
        <v>5.0076999999999998</v>
      </c>
      <c r="AF71" s="1">
        <v>2.2629999999999999</v>
      </c>
    </row>
    <row r="72" spans="1:32" s="1" customFormat="1" ht="11.25" x14ac:dyDescent="0.2">
      <c r="A72" s="1">
        <v>56</v>
      </c>
      <c r="B72" s="1">
        <v>15</v>
      </c>
      <c r="C72" s="1">
        <v>25</v>
      </c>
      <c r="D72" s="1">
        <v>1</v>
      </c>
      <c r="E72" s="1">
        <v>2.161</v>
      </c>
      <c r="F72" s="1">
        <v>0.78790000000000004</v>
      </c>
      <c r="G72" s="1">
        <v>0.33090000000000003</v>
      </c>
      <c r="H72" s="1">
        <v>-0.33639999999999998</v>
      </c>
      <c r="I72" s="1">
        <v>1.4E-3</v>
      </c>
      <c r="J72" s="1">
        <v>3.3972000000000002</v>
      </c>
      <c r="K72" s="1">
        <v>4.0236999999999998</v>
      </c>
      <c r="L72" s="1">
        <v>1.7290000000000001</v>
      </c>
      <c r="M72" s="1">
        <v>-54.9</v>
      </c>
      <c r="N72" s="1">
        <v>1</v>
      </c>
      <c r="O72" s="1">
        <v>2.5861999999999998</v>
      </c>
      <c r="P72" s="1">
        <v>0.89949999999999997</v>
      </c>
      <c r="Q72" s="1">
        <v>0.2661</v>
      </c>
      <c r="R72" s="1">
        <v>-0.29470000000000002</v>
      </c>
      <c r="S72" s="1">
        <v>2.0400000000000001E-2</v>
      </c>
      <c r="T72" s="1">
        <v>2.0686</v>
      </c>
      <c r="U72" s="1">
        <v>3.0870000000000002</v>
      </c>
      <c r="V72" s="1">
        <v>1.575</v>
      </c>
      <c r="W72" s="1">
        <v>100.1</v>
      </c>
      <c r="X72" s="1">
        <v>1</v>
      </c>
      <c r="Y72" s="1">
        <v>1.6729000000000001</v>
      </c>
      <c r="AA72" s="1">
        <v>0.83930000000000005</v>
      </c>
      <c r="AB72" s="1">
        <v>-1.1501999999999999</v>
      </c>
      <c r="AC72" s="1">
        <v>0.1241</v>
      </c>
      <c r="AD72" s="1">
        <v>3.9554</v>
      </c>
      <c r="AE72" s="1">
        <v>5.1368999999999998</v>
      </c>
      <c r="AF72" s="1">
        <v>1.8825000000000001</v>
      </c>
    </row>
    <row r="73" spans="1:32" s="1" customFormat="1" ht="11.25" x14ac:dyDescent="0.2">
      <c r="A73" s="1">
        <v>57</v>
      </c>
      <c r="B73" s="1">
        <v>15</v>
      </c>
      <c r="C73" s="1">
        <v>25</v>
      </c>
      <c r="D73" s="1">
        <v>1</v>
      </c>
      <c r="E73" s="1">
        <v>2.2511000000000001</v>
      </c>
      <c r="F73" s="1">
        <v>0.79139999999999999</v>
      </c>
      <c r="G73" s="1">
        <v>0.33960000000000001</v>
      </c>
      <c r="H73" s="1">
        <v>-0.42409999999999998</v>
      </c>
      <c r="I73" s="1">
        <v>1.8E-3</v>
      </c>
      <c r="J73" s="1">
        <v>3.4546999999999999</v>
      </c>
      <c r="K73" s="1">
        <v>4.0712000000000002</v>
      </c>
      <c r="L73" s="1">
        <v>1.661</v>
      </c>
      <c r="M73" s="1">
        <v>-55</v>
      </c>
      <c r="N73" s="1">
        <v>1</v>
      </c>
      <c r="O73" s="1">
        <v>2.6991000000000001</v>
      </c>
      <c r="P73" s="1">
        <v>0.90300000000000002</v>
      </c>
      <c r="Q73" s="1">
        <v>0.2651</v>
      </c>
      <c r="R73" s="1">
        <v>-0.36480000000000001</v>
      </c>
      <c r="S73" s="1">
        <v>2.6700000000000002E-2</v>
      </c>
      <c r="T73" s="1">
        <v>1.9923</v>
      </c>
      <c r="U73" s="1">
        <v>3.0750000000000002</v>
      </c>
      <c r="V73" s="1">
        <v>1.5106999999999999</v>
      </c>
      <c r="W73" s="1">
        <v>100.3</v>
      </c>
      <c r="X73" s="1">
        <v>1</v>
      </c>
      <c r="Y73" s="1">
        <v>1.73</v>
      </c>
      <c r="AA73" s="1">
        <v>0.84589999999999999</v>
      </c>
      <c r="AB73" s="1">
        <v>-1.1247</v>
      </c>
      <c r="AC73" s="1">
        <v>0.1285</v>
      </c>
      <c r="AD73" s="1">
        <v>3.9611000000000001</v>
      </c>
      <c r="AE73" s="1">
        <v>5.1687000000000003</v>
      </c>
      <c r="AF73" s="1">
        <v>1.8095000000000001</v>
      </c>
    </row>
    <row r="74" spans="1:32" s="1" customFormat="1" ht="11.25" x14ac:dyDescent="0.2">
      <c r="A74" s="1">
        <v>58</v>
      </c>
      <c r="B74" s="1">
        <v>1</v>
      </c>
      <c r="C74" s="1">
        <v>25</v>
      </c>
      <c r="D74" s="1">
        <v>1</v>
      </c>
      <c r="E74" s="1">
        <v>2.0158</v>
      </c>
      <c r="F74" s="1">
        <v>0.77510000000000001</v>
      </c>
      <c r="G74" s="1">
        <v>0.49480000000000002</v>
      </c>
      <c r="H74" s="1">
        <v>-0.53649999999999998</v>
      </c>
      <c r="I74" s="1">
        <v>1.6000000000000001E-3</v>
      </c>
      <c r="J74" s="1">
        <v>3.3689</v>
      </c>
      <c r="K74" s="1">
        <v>3.8226</v>
      </c>
      <c r="L74" s="1">
        <v>2.2044999999999999</v>
      </c>
      <c r="M74" s="1">
        <v>-55.3</v>
      </c>
      <c r="N74" s="1">
        <v>1</v>
      </c>
      <c r="O74" s="1">
        <v>2.4527999999999999</v>
      </c>
      <c r="P74" s="1">
        <v>0.89470000000000005</v>
      </c>
      <c r="Q74" s="1">
        <v>0.61470000000000002</v>
      </c>
      <c r="R74" s="1">
        <v>-0.66849999999999998</v>
      </c>
      <c r="S74" s="1">
        <v>2.1499999999999998E-2</v>
      </c>
      <c r="T74" s="1">
        <v>1.9242999999999999</v>
      </c>
      <c r="U74" s="1">
        <v>2.7118000000000002</v>
      </c>
      <c r="V74" s="1">
        <v>2.0287000000000002</v>
      </c>
      <c r="W74" s="1">
        <v>100.2</v>
      </c>
      <c r="X74" s="1">
        <v>1</v>
      </c>
      <c r="Y74" s="1">
        <v>1.4937</v>
      </c>
      <c r="AA74" s="1">
        <v>0.65210000000000001</v>
      </c>
      <c r="AB74" s="1">
        <v>-0.74619999999999997</v>
      </c>
      <c r="AC74" s="1">
        <v>0.2298</v>
      </c>
      <c r="AD74" s="1">
        <v>4.1090999999999998</v>
      </c>
      <c r="AE74" s="1">
        <v>5.0660999999999996</v>
      </c>
      <c r="AF74" s="1">
        <v>2.3885000000000001</v>
      </c>
    </row>
    <row r="75" spans="1:32" s="1" customFormat="1" ht="11.25" x14ac:dyDescent="0.2">
      <c r="A75" s="1">
        <v>59</v>
      </c>
      <c r="B75" s="1">
        <v>1</v>
      </c>
      <c r="C75" s="1">
        <v>25</v>
      </c>
      <c r="D75" s="1">
        <v>1</v>
      </c>
      <c r="E75" s="1">
        <v>1.9786999999999999</v>
      </c>
      <c r="F75" s="1">
        <v>0.77639999999999998</v>
      </c>
      <c r="G75" s="1">
        <v>0.40110000000000001</v>
      </c>
      <c r="H75" s="1">
        <v>-0.61680000000000001</v>
      </c>
      <c r="I75" s="1">
        <v>1.4E-3</v>
      </c>
      <c r="J75" s="1">
        <v>3.4102000000000001</v>
      </c>
      <c r="K75" s="1">
        <v>3.8157999999999999</v>
      </c>
      <c r="L75" s="1">
        <v>2.1669</v>
      </c>
      <c r="M75" s="1">
        <v>-55.2</v>
      </c>
      <c r="N75" s="1">
        <v>1</v>
      </c>
      <c r="O75" s="1">
        <v>2.4155000000000002</v>
      </c>
      <c r="P75" s="1">
        <v>0.89610000000000001</v>
      </c>
      <c r="Q75" s="1">
        <v>0.6331</v>
      </c>
      <c r="R75" s="1">
        <v>-0.63690000000000002</v>
      </c>
      <c r="S75" s="1">
        <v>2.0199999999999999E-2</v>
      </c>
      <c r="T75" s="1">
        <v>1.9470000000000001</v>
      </c>
      <c r="U75" s="1">
        <v>2.6985000000000001</v>
      </c>
      <c r="V75" s="1">
        <v>1.9936</v>
      </c>
      <c r="W75" s="1">
        <v>100.3</v>
      </c>
      <c r="X75" s="1">
        <v>1</v>
      </c>
      <c r="Y75" s="1">
        <v>1.4536</v>
      </c>
      <c r="AA75" s="1">
        <v>0.76790000000000003</v>
      </c>
      <c r="AB75" s="1">
        <v>-0.84079999999999999</v>
      </c>
      <c r="AC75" s="1">
        <v>0.24379999999999999</v>
      </c>
      <c r="AD75" s="1">
        <v>4.0651999999999999</v>
      </c>
      <c r="AE75" s="1">
        <v>5.0457999999999998</v>
      </c>
      <c r="AF75" s="1">
        <v>2.3512</v>
      </c>
    </row>
    <row r="76" spans="1:32" s="1" customFormat="1" ht="11.25" x14ac:dyDescent="0.2">
      <c r="A76" s="1">
        <v>60</v>
      </c>
      <c r="B76" s="1">
        <v>1</v>
      </c>
      <c r="C76" s="1">
        <v>25</v>
      </c>
      <c r="D76" s="1">
        <v>1</v>
      </c>
      <c r="E76" s="1">
        <v>2.0278999999999998</v>
      </c>
      <c r="F76" s="1">
        <v>0.78259999999999996</v>
      </c>
      <c r="G76" s="1">
        <v>0.68079999999999996</v>
      </c>
      <c r="H76" s="1">
        <v>-0.80720000000000003</v>
      </c>
      <c r="I76" s="1">
        <v>1.8E-3</v>
      </c>
      <c r="J76" s="1">
        <v>3.3933</v>
      </c>
      <c r="K76" s="1">
        <v>3.9026000000000001</v>
      </c>
      <c r="L76" s="1">
        <v>1.9159999999999999</v>
      </c>
      <c r="M76" s="1">
        <v>-55.2</v>
      </c>
      <c r="N76" s="1">
        <v>1</v>
      </c>
      <c r="O76" s="1">
        <v>2.4601999999999999</v>
      </c>
      <c r="P76" s="1">
        <v>0.9</v>
      </c>
      <c r="Q76" s="1">
        <v>0.59140000000000004</v>
      </c>
      <c r="R76" s="1">
        <v>-0.54279999999999995</v>
      </c>
      <c r="S76" s="1">
        <v>1.9199999999999998E-2</v>
      </c>
      <c r="T76" s="1">
        <v>1.8932</v>
      </c>
      <c r="U76" s="1">
        <v>2.8058999999999998</v>
      </c>
      <c r="V76" s="1">
        <v>1.7522</v>
      </c>
      <c r="W76" s="1">
        <v>100.2</v>
      </c>
      <c r="X76" s="1">
        <v>1</v>
      </c>
      <c r="Y76" s="1">
        <v>1.5084</v>
      </c>
      <c r="AA76" s="1">
        <v>0.5413</v>
      </c>
      <c r="AB76" s="1">
        <v>-0.88219999999999998</v>
      </c>
      <c r="AC76" s="1">
        <v>0.2021</v>
      </c>
      <c r="AD76" s="1">
        <v>4.0858999999999996</v>
      </c>
      <c r="AE76" s="1">
        <v>5.1143000000000001</v>
      </c>
      <c r="AF76" s="1">
        <v>2.0888</v>
      </c>
    </row>
    <row r="77" spans="1:32" s="1" customFormat="1" ht="11.25" x14ac:dyDescent="0.2">
      <c r="A77" s="1">
        <v>61</v>
      </c>
      <c r="B77" s="1">
        <v>1</v>
      </c>
      <c r="C77" s="1">
        <v>25</v>
      </c>
      <c r="D77" s="1">
        <v>1</v>
      </c>
      <c r="E77" s="1">
        <v>1.9419</v>
      </c>
      <c r="F77" s="1">
        <v>0.77510000000000001</v>
      </c>
      <c r="G77" s="1">
        <v>0.68100000000000005</v>
      </c>
      <c r="H77" s="1">
        <v>-0.7419</v>
      </c>
      <c r="I77" s="1">
        <v>1.6999999999999999E-3</v>
      </c>
      <c r="J77" s="1">
        <v>3.4142000000000001</v>
      </c>
      <c r="K77" s="1">
        <v>3.7747999999999999</v>
      </c>
      <c r="L77" s="1">
        <v>2.1524000000000001</v>
      </c>
      <c r="M77" s="1">
        <v>-55.3</v>
      </c>
      <c r="N77" s="1">
        <v>1</v>
      </c>
      <c r="O77" s="1">
        <v>2.3736000000000002</v>
      </c>
      <c r="P77" s="1">
        <v>0.89529999999999998</v>
      </c>
      <c r="Q77" s="1">
        <v>0.42199999999999999</v>
      </c>
      <c r="R77" s="1">
        <v>-0.63149999999999995</v>
      </c>
      <c r="S77" s="1">
        <v>2.2800000000000001E-2</v>
      </c>
      <c r="T77" s="1">
        <v>1.9018999999999999</v>
      </c>
      <c r="U77" s="1">
        <v>2.6869999999999998</v>
      </c>
      <c r="V77" s="1">
        <v>1.9817</v>
      </c>
      <c r="W77" s="1">
        <v>100.3</v>
      </c>
      <c r="X77" s="1">
        <v>1</v>
      </c>
      <c r="Y77" s="1">
        <v>1.4237</v>
      </c>
      <c r="AA77" s="1">
        <v>0.7409</v>
      </c>
      <c r="AB77" s="1">
        <v>-0.83240000000000003</v>
      </c>
      <c r="AC77" s="1">
        <v>0.25140000000000001</v>
      </c>
      <c r="AD77" s="1">
        <v>4.0720999999999998</v>
      </c>
      <c r="AE77" s="1">
        <v>5.0228000000000002</v>
      </c>
      <c r="AF77" s="1">
        <v>2.3361000000000001</v>
      </c>
    </row>
    <row r="78" spans="1:32" s="1" customFormat="1" ht="11.25" x14ac:dyDescent="0.2">
      <c r="A78" s="1">
        <v>62</v>
      </c>
      <c r="B78" s="1">
        <v>15</v>
      </c>
      <c r="C78" s="1">
        <v>25.1</v>
      </c>
      <c r="D78" s="1">
        <v>1</v>
      </c>
      <c r="E78" s="1">
        <v>2.3039999999999998</v>
      </c>
      <c r="F78" s="1">
        <v>0.78890000000000005</v>
      </c>
      <c r="G78" s="1">
        <v>0.33600000000000002</v>
      </c>
      <c r="H78" s="1">
        <v>-0.41670000000000001</v>
      </c>
      <c r="I78" s="1">
        <v>1.8E-3</v>
      </c>
      <c r="J78" s="1">
        <v>3.4582999999999999</v>
      </c>
      <c r="K78" s="1">
        <v>4.1035000000000004</v>
      </c>
      <c r="L78" s="1">
        <v>1.8841000000000001</v>
      </c>
      <c r="M78" s="1">
        <v>-54.9</v>
      </c>
      <c r="N78" s="1">
        <v>1</v>
      </c>
      <c r="O78" s="1">
        <v>2.7946</v>
      </c>
      <c r="P78" s="1">
        <v>0.90259999999999996</v>
      </c>
      <c r="Q78" s="1">
        <v>0.3261</v>
      </c>
      <c r="R78" s="1">
        <v>-0.27139999999999997</v>
      </c>
      <c r="S78" s="1">
        <v>2.23E-2</v>
      </c>
      <c r="T78" s="1">
        <v>1.96</v>
      </c>
      <c r="U78" s="1">
        <v>3.0550999999999999</v>
      </c>
      <c r="V78" s="1">
        <v>1.7232000000000001</v>
      </c>
      <c r="W78" s="1">
        <v>100</v>
      </c>
      <c r="X78" s="1">
        <v>1</v>
      </c>
      <c r="Y78" s="1">
        <v>1.7297</v>
      </c>
      <c r="AA78" s="1">
        <v>1.03</v>
      </c>
      <c r="AB78" s="1">
        <v>-1.3122</v>
      </c>
      <c r="AC78" s="1">
        <v>0.1406</v>
      </c>
      <c r="AD78" s="1">
        <v>4.0750000000000002</v>
      </c>
      <c r="AE78" s="1">
        <v>5.29</v>
      </c>
      <c r="AF78" s="1">
        <v>2.0507</v>
      </c>
    </row>
    <row r="79" spans="1:32" s="1" customFormat="1" ht="11.25" x14ac:dyDescent="0.2">
      <c r="A79" s="1">
        <v>63</v>
      </c>
      <c r="B79" s="1">
        <v>1</v>
      </c>
      <c r="C79" s="1">
        <v>25</v>
      </c>
      <c r="D79" s="1">
        <v>1</v>
      </c>
      <c r="E79" s="1">
        <v>1.9098999999999999</v>
      </c>
      <c r="F79" s="1">
        <v>0.77380000000000004</v>
      </c>
      <c r="G79" s="1">
        <v>0.66659999999999997</v>
      </c>
      <c r="H79" s="1">
        <v>-0.6663</v>
      </c>
      <c r="I79" s="1">
        <v>1.5E-3</v>
      </c>
      <c r="J79" s="1">
        <v>3.5024000000000002</v>
      </c>
      <c r="K79" s="1">
        <v>3.8266</v>
      </c>
      <c r="L79" s="1">
        <v>2.3134999999999999</v>
      </c>
      <c r="M79" s="1">
        <v>-55.3</v>
      </c>
      <c r="N79" s="1">
        <v>1</v>
      </c>
      <c r="O79" s="1">
        <v>2.3283999999999998</v>
      </c>
      <c r="P79" s="1">
        <v>0.89370000000000005</v>
      </c>
      <c r="Q79" s="1">
        <v>0.42559999999999998</v>
      </c>
      <c r="R79" s="1">
        <v>-0.47499999999999998</v>
      </c>
      <c r="S79" s="1">
        <v>2.0799999999999999E-2</v>
      </c>
      <c r="T79" s="1">
        <v>1.9701</v>
      </c>
      <c r="U79" s="1">
        <v>2.7416</v>
      </c>
      <c r="V79" s="1">
        <v>2.1381000000000001</v>
      </c>
      <c r="W79" s="1">
        <v>100.1</v>
      </c>
      <c r="X79" s="1">
        <v>1</v>
      </c>
      <c r="Y79" s="1">
        <v>1.4021999999999999</v>
      </c>
      <c r="AA79" s="1">
        <v>0.74639999999999995</v>
      </c>
      <c r="AB79" s="1">
        <v>-0.7792</v>
      </c>
      <c r="AC79" s="1">
        <v>0.24840000000000001</v>
      </c>
      <c r="AD79" s="1">
        <v>4.1337000000000002</v>
      </c>
      <c r="AE79" s="1">
        <v>5.1116999999999999</v>
      </c>
      <c r="AF79" s="1">
        <v>2.5009999999999999</v>
      </c>
    </row>
    <row r="80" spans="1:32" s="1" customFormat="1" ht="11.25" x14ac:dyDescent="0.2">
      <c r="A80" s="1">
        <v>64</v>
      </c>
      <c r="B80" s="1">
        <v>1</v>
      </c>
      <c r="C80" s="1">
        <v>25</v>
      </c>
      <c r="D80" s="1">
        <v>1</v>
      </c>
      <c r="E80" s="1">
        <v>2.0436999999999999</v>
      </c>
      <c r="F80" s="1">
        <v>0.77759999999999996</v>
      </c>
      <c r="G80" s="1">
        <v>0.48149999999999998</v>
      </c>
      <c r="H80" s="1">
        <v>-0.53439999999999999</v>
      </c>
      <c r="I80" s="1">
        <v>1.5E-3</v>
      </c>
      <c r="J80" s="1">
        <v>3.4496000000000002</v>
      </c>
      <c r="K80" s="1">
        <v>3.8336000000000001</v>
      </c>
      <c r="L80" s="1">
        <v>1.9985999999999999</v>
      </c>
      <c r="M80" s="1">
        <v>-55.2</v>
      </c>
      <c r="N80" s="1">
        <v>1</v>
      </c>
      <c r="O80" s="1">
        <v>2.4799000000000002</v>
      </c>
      <c r="P80" s="1">
        <v>0.89639999999999997</v>
      </c>
      <c r="Q80" s="1">
        <v>0.58160000000000001</v>
      </c>
      <c r="R80" s="1">
        <v>-0.5746</v>
      </c>
      <c r="S80" s="1">
        <v>1.95E-2</v>
      </c>
      <c r="T80" s="1">
        <v>1.9186000000000001</v>
      </c>
      <c r="U80" s="1">
        <v>2.7443</v>
      </c>
      <c r="V80" s="1">
        <v>1.8309</v>
      </c>
      <c r="W80" s="1">
        <v>100.3</v>
      </c>
      <c r="X80" s="1">
        <v>1</v>
      </c>
      <c r="Y80" s="1">
        <v>1.5158</v>
      </c>
      <c r="AA80" s="1">
        <v>0.67600000000000005</v>
      </c>
      <c r="AB80" s="1">
        <v>-0.95879999999999999</v>
      </c>
      <c r="AC80" s="1">
        <v>0.23469999999999999</v>
      </c>
      <c r="AD80" s="1">
        <v>4.0327000000000002</v>
      </c>
      <c r="AE80" s="1">
        <v>5.0522999999999998</v>
      </c>
      <c r="AF80" s="1">
        <v>2.1760000000000002</v>
      </c>
    </row>
    <row r="81" spans="1:32" s="1" customFormat="1" ht="11.25" x14ac:dyDescent="0.2">
      <c r="A81" s="1">
        <v>65</v>
      </c>
      <c r="B81" s="1">
        <v>15</v>
      </c>
      <c r="C81" s="1">
        <v>25.1</v>
      </c>
      <c r="D81" s="1">
        <v>1</v>
      </c>
      <c r="E81" s="1">
        <v>2.1343999999999999</v>
      </c>
      <c r="F81" s="1">
        <v>0.78449999999999998</v>
      </c>
      <c r="G81" s="1">
        <v>0.33510000000000001</v>
      </c>
      <c r="H81" s="1">
        <v>-0.35670000000000002</v>
      </c>
      <c r="I81" s="1">
        <v>1.9E-3</v>
      </c>
      <c r="J81" s="1">
        <v>3.44</v>
      </c>
      <c r="K81" s="1">
        <v>3.9154</v>
      </c>
      <c r="L81" s="1">
        <v>1.8362000000000001</v>
      </c>
      <c r="M81" s="1">
        <v>-54.9</v>
      </c>
      <c r="N81" s="1">
        <v>1</v>
      </c>
      <c r="O81" s="1">
        <v>2.5672999999999999</v>
      </c>
      <c r="P81" s="1">
        <v>0.89800000000000002</v>
      </c>
      <c r="Q81" s="1">
        <v>0.20949999999999999</v>
      </c>
      <c r="R81" s="1">
        <v>-0.28970000000000001</v>
      </c>
      <c r="S81" s="1">
        <v>2.23E-2</v>
      </c>
      <c r="T81" s="1">
        <v>1.9690000000000001</v>
      </c>
      <c r="U81" s="1">
        <v>2.8654000000000002</v>
      </c>
      <c r="V81" s="1">
        <v>1.6779999999999999</v>
      </c>
      <c r="W81" s="1">
        <v>100</v>
      </c>
      <c r="X81" s="1">
        <v>1</v>
      </c>
      <c r="Y81" s="1">
        <v>1.6363000000000001</v>
      </c>
      <c r="AA81" s="1">
        <v>0.76639999999999997</v>
      </c>
      <c r="AB81" s="1">
        <v>-1.0258</v>
      </c>
      <c r="AC81" s="1">
        <v>0.13789999999999999</v>
      </c>
      <c r="AD81" s="1">
        <v>4.0121000000000002</v>
      </c>
      <c r="AE81" s="1">
        <v>5.0673000000000004</v>
      </c>
      <c r="AF81" s="1">
        <v>1.9956</v>
      </c>
    </row>
    <row r="82" spans="1:32" s="1" customFormat="1" ht="11.25" x14ac:dyDescent="0.2">
      <c r="A82" s="1">
        <v>66</v>
      </c>
      <c r="B82" s="1">
        <v>1</v>
      </c>
      <c r="C82" s="1">
        <v>25</v>
      </c>
      <c r="D82" s="1">
        <v>1</v>
      </c>
      <c r="E82" s="1">
        <v>2.0318999999999998</v>
      </c>
      <c r="F82" s="1">
        <v>0.78180000000000005</v>
      </c>
      <c r="G82" s="1">
        <v>0.64100000000000001</v>
      </c>
      <c r="H82" s="1">
        <v>-0.63819999999999999</v>
      </c>
      <c r="I82" s="1">
        <v>1.6999999999999999E-3</v>
      </c>
      <c r="J82" s="1">
        <v>3.37</v>
      </c>
      <c r="K82" s="1">
        <v>3.8237000000000001</v>
      </c>
      <c r="L82" s="1">
        <v>1.8769</v>
      </c>
      <c r="M82" s="1">
        <v>-55.3</v>
      </c>
      <c r="N82" s="1">
        <v>1</v>
      </c>
      <c r="O82" s="1">
        <v>2.4622999999999999</v>
      </c>
      <c r="P82" s="1">
        <v>0.89910000000000001</v>
      </c>
      <c r="Q82" s="1">
        <v>0.61980000000000002</v>
      </c>
      <c r="R82" s="1">
        <v>-0.65869999999999995</v>
      </c>
      <c r="S82" s="1">
        <v>1.9900000000000001E-2</v>
      </c>
      <c r="T82" s="1">
        <v>1.9215</v>
      </c>
      <c r="U82" s="1">
        <v>2.7551000000000001</v>
      </c>
      <c r="V82" s="1">
        <v>1.7121</v>
      </c>
      <c r="W82" s="1">
        <v>100.3</v>
      </c>
      <c r="X82" s="1">
        <v>1</v>
      </c>
      <c r="Y82" s="1">
        <v>1.5113000000000001</v>
      </c>
      <c r="AA82" s="1">
        <v>0.54879999999999995</v>
      </c>
      <c r="AB82" s="1">
        <v>-0.87329999999999997</v>
      </c>
      <c r="AC82" s="1">
        <v>0.21199999999999999</v>
      </c>
      <c r="AD82" s="1">
        <v>4.0063000000000004</v>
      </c>
      <c r="AE82" s="1">
        <v>5.0472000000000001</v>
      </c>
      <c r="AF82" s="1">
        <v>2.0468999999999999</v>
      </c>
    </row>
    <row r="83" spans="1:32" s="1" customFormat="1" ht="11.25" x14ac:dyDescent="0.2">
      <c r="A83" s="1">
        <v>67</v>
      </c>
      <c r="B83" s="1">
        <v>1</v>
      </c>
      <c r="C83" s="1">
        <v>25</v>
      </c>
      <c r="D83" s="1">
        <v>1</v>
      </c>
      <c r="E83" s="1">
        <v>1.9211</v>
      </c>
      <c r="F83" s="1">
        <v>0.7742</v>
      </c>
      <c r="G83" s="1">
        <v>0.65100000000000002</v>
      </c>
      <c r="H83" s="1">
        <v>-0.76400000000000001</v>
      </c>
      <c r="I83" s="1">
        <v>1.6999999999999999E-3</v>
      </c>
      <c r="J83" s="1">
        <v>3.5112000000000001</v>
      </c>
      <c r="K83" s="1">
        <v>3.8690000000000002</v>
      </c>
      <c r="L83" s="1">
        <v>2.3035999999999999</v>
      </c>
      <c r="M83" s="1">
        <v>-55.3</v>
      </c>
      <c r="N83" s="1">
        <v>1</v>
      </c>
      <c r="O83" s="1">
        <v>2.3536000000000001</v>
      </c>
      <c r="P83" s="1">
        <v>0.89400000000000002</v>
      </c>
      <c r="Q83" s="1">
        <v>0.61829999999999996</v>
      </c>
      <c r="R83" s="1">
        <v>-0.68179999999999996</v>
      </c>
      <c r="S83" s="1">
        <v>2.12E-2</v>
      </c>
      <c r="T83" s="1">
        <v>1.9766999999999999</v>
      </c>
      <c r="U83" s="1">
        <v>2.7519999999999998</v>
      </c>
      <c r="V83" s="1">
        <v>2.1318000000000001</v>
      </c>
      <c r="W83" s="1">
        <v>100.1</v>
      </c>
      <c r="X83" s="1">
        <v>1</v>
      </c>
      <c r="Y83" s="1">
        <v>1.4087000000000001</v>
      </c>
      <c r="AA83" s="1">
        <v>0.61909999999999998</v>
      </c>
      <c r="AB83" s="1">
        <v>-0.88490000000000002</v>
      </c>
      <c r="AC83" s="1">
        <v>0.2384</v>
      </c>
      <c r="AD83" s="1">
        <v>4.1398999999999999</v>
      </c>
      <c r="AE83" s="1">
        <v>5.1205999999999996</v>
      </c>
      <c r="AF83" s="1">
        <v>2.4937</v>
      </c>
    </row>
    <row r="84" spans="1:32" s="1" customFormat="1" ht="11.25" x14ac:dyDescent="0.2">
      <c r="A84" s="1">
        <v>68</v>
      </c>
      <c r="B84" s="1">
        <v>1</v>
      </c>
      <c r="C84" s="1">
        <v>25</v>
      </c>
      <c r="D84" s="1">
        <v>1</v>
      </c>
      <c r="E84" s="1">
        <v>1.9140999999999999</v>
      </c>
      <c r="F84" s="1">
        <v>0.77310000000000001</v>
      </c>
      <c r="G84" s="1">
        <v>0.54490000000000005</v>
      </c>
      <c r="H84" s="1">
        <v>-0.57789999999999997</v>
      </c>
      <c r="I84" s="1">
        <v>1.8E-3</v>
      </c>
      <c r="J84" s="1">
        <v>3.5083000000000002</v>
      </c>
      <c r="K84" s="1">
        <v>3.8660000000000001</v>
      </c>
      <c r="L84" s="1">
        <v>2.3380999999999998</v>
      </c>
      <c r="M84" s="1">
        <v>-55.3</v>
      </c>
      <c r="N84" s="1">
        <v>1</v>
      </c>
      <c r="O84" s="1">
        <v>2.3460999999999999</v>
      </c>
      <c r="P84" s="1">
        <v>0.89370000000000005</v>
      </c>
      <c r="Q84" s="1">
        <v>0.49490000000000001</v>
      </c>
      <c r="R84" s="1">
        <v>-0.54290000000000005</v>
      </c>
      <c r="S84" s="1">
        <v>2.12E-2</v>
      </c>
      <c r="T84" s="1">
        <v>2.0244</v>
      </c>
      <c r="U84" s="1">
        <v>2.7650999999999999</v>
      </c>
      <c r="V84" s="1">
        <v>2.1638999999999999</v>
      </c>
      <c r="W84" s="1">
        <v>100.3</v>
      </c>
      <c r="X84" s="1">
        <v>1</v>
      </c>
      <c r="Y84" s="1">
        <v>1.3974</v>
      </c>
      <c r="AA84" s="1">
        <v>0.5151</v>
      </c>
      <c r="AB84" s="1">
        <v>-0.66959999999999997</v>
      </c>
      <c r="AC84" s="1">
        <v>0.25659999999999999</v>
      </c>
      <c r="AD84" s="1">
        <v>4.1760000000000002</v>
      </c>
      <c r="AE84" s="1">
        <v>5.1227</v>
      </c>
      <c r="AF84" s="1">
        <v>2.528</v>
      </c>
    </row>
    <row r="85" spans="1:32" s="1" customFormat="1" ht="11.25" x14ac:dyDescent="0.2">
      <c r="A85" s="1">
        <v>69</v>
      </c>
      <c r="B85" s="1">
        <v>1</v>
      </c>
      <c r="C85" s="1">
        <v>25</v>
      </c>
      <c r="D85" s="1">
        <v>1</v>
      </c>
      <c r="E85" s="1">
        <v>1.9227000000000001</v>
      </c>
      <c r="F85" s="1">
        <v>0.77349999999999997</v>
      </c>
      <c r="G85" s="1">
        <v>0.64200000000000002</v>
      </c>
      <c r="H85" s="1">
        <v>-0.77959999999999996</v>
      </c>
      <c r="I85" s="1">
        <v>1.6999999999999999E-3</v>
      </c>
      <c r="J85" s="1">
        <v>3.5053999999999998</v>
      </c>
      <c r="K85" s="1">
        <v>3.8408000000000002</v>
      </c>
      <c r="L85" s="1">
        <v>2.3329</v>
      </c>
      <c r="M85" s="1">
        <v>-55.3</v>
      </c>
      <c r="N85" s="1">
        <v>1</v>
      </c>
      <c r="O85" s="1">
        <v>2.3561000000000001</v>
      </c>
      <c r="P85" s="1">
        <v>0.89400000000000002</v>
      </c>
      <c r="Q85" s="1">
        <v>0.3821</v>
      </c>
      <c r="R85" s="1">
        <v>-0.63400000000000001</v>
      </c>
      <c r="S85" s="1">
        <v>2.0899999999999998E-2</v>
      </c>
      <c r="T85" s="1">
        <v>1.9578</v>
      </c>
      <c r="U85" s="1">
        <v>2.7296999999999998</v>
      </c>
      <c r="V85" s="1">
        <v>2.1576</v>
      </c>
      <c r="W85" s="1">
        <v>100.2</v>
      </c>
      <c r="X85" s="1">
        <v>1</v>
      </c>
      <c r="Y85" s="1">
        <v>1.4060999999999999</v>
      </c>
      <c r="AA85" s="1">
        <v>0.59570000000000001</v>
      </c>
      <c r="AB85" s="1">
        <v>-0.73070000000000002</v>
      </c>
      <c r="AC85" s="1">
        <v>0.25019999999999998</v>
      </c>
      <c r="AD85" s="1">
        <v>4.1479999999999997</v>
      </c>
      <c r="AE85" s="1">
        <v>5.1242999999999999</v>
      </c>
      <c r="AF85" s="1">
        <v>2.5217000000000001</v>
      </c>
    </row>
    <row r="86" spans="1:32" s="1" customFormat="1" ht="11.25" x14ac:dyDescent="0.2">
      <c r="A86" s="1">
        <v>70</v>
      </c>
      <c r="B86" s="1">
        <v>1</v>
      </c>
      <c r="C86" s="1">
        <v>25</v>
      </c>
      <c r="D86" s="1">
        <v>1</v>
      </c>
      <c r="E86" s="1">
        <v>1.964</v>
      </c>
      <c r="F86" s="1">
        <v>0.78239999999999998</v>
      </c>
      <c r="G86" s="1">
        <v>0.66459999999999997</v>
      </c>
      <c r="H86" s="1">
        <v>-0.78259999999999996</v>
      </c>
      <c r="I86" s="1">
        <v>1.2999999999999999E-3</v>
      </c>
      <c r="J86" s="1">
        <v>3.3614999999999999</v>
      </c>
      <c r="K86" s="1">
        <v>4.0721999999999996</v>
      </c>
      <c r="L86" s="1">
        <v>1.8176000000000001</v>
      </c>
      <c r="M86" s="1">
        <v>-55.3</v>
      </c>
      <c r="N86" s="1">
        <v>1</v>
      </c>
      <c r="O86" s="1">
        <v>2.3639000000000001</v>
      </c>
      <c r="P86" s="1">
        <v>0.89990000000000003</v>
      </c>
      <c r="Q86" s="1">
        <v>0.36630000000000001</v>
      </c>
      <c r="R86" s="1">
        <v>-0.50219999999999998</v>
      </c>
      <c r="S86" s="1">
        <v>2.0899999999999998E-2</v>
      </c>
      <c r="T86" s="1">
        <v>1.9075</v>
      </c>
      <c r="U86" s="1">
        <v>2.9661</v>
      </c>
      <c r="V86" s="1">
        <v>1.6566000000000001</v>
      </c>
      <c r="W86" s="1">
        <v>100.1</v>
      </c>
      <c r="X86" s="1">
        <v>1</v>
      </c>
      <c r="Y86" s="1">
        <v>1.4843999999999999</v>
      </c>
      <c r="AA86" s="1">
        <v>0.61439999999999995</v>
      </c>
      <c r="AB86" s="1">
        <v>-0.95489999999999997</v>
      </c>
      <c r="AC86" s="1">
        <v>0.21729999999999999</v>
      </c>
      <c r="AD86" s="1">
        <v>3.9817999999999998</v>
      </c>
      <c r="AE86" s="1">
        <v>5.2511999999999999</v>
      </c>
      <c r="AF86" s="1">
        <v>1.9870000000000001</v>
      </c>
    </row>
    <row r="87" spans="1:32" s="1" customFormat="1" ht="11.25" x14ac:dyDescent="0.2">
      <c r="A87" s="1">
        <v>71</v>
      </c>
      <c r="B87" s="1">
        <v>1</v>
      </c>
      <c r="C87" s="1">
        <v>25</v>
      </c>
      <c r="D87" s="1">
        <v>1</v>
      </c>
      <c r="E87" s="1">
        <v>2.0356000000000001</v>
      </c>
      <c r="F87" s="1">
        <v>0.77680000000000005</v>
      </c>
      <c r="G87" s="1">
        <v>0.4002</v>
      </c>
      <c r="H87" s="1">
        <v>-0.57169999999999999</v>
      </c>
      <c r="I87" s="1">
        <v>1.6000000000000001E-3</v>
      </c>
      <c r="J87" s="1">
        <v>3.4434</v>
      </c>
      <c r="K87" s="1">
        <v>3.8460999999999999</v>
      </c>
      <c r="L87" s="1">
        <v>2.1132</v>
      </c>
      <c r="M87" s="1">
        <v>-55.4</v>
      </c>
      <c r="N87" s="1">
        <v>1</v>
      </c>
      <c r="O87" s="1">
        <v>2.4683000000000002</v>
      </c>
      <c r="P87" s="1">
        <v>0.89710000000000001</v>
      </c>
      <c r="Q87" s="1">
        <v>0.5554</v>
      </c>
      <c r="R87" s="1">
        <v>-0.5111</v>
      </c>
      <c r="S87" s="1">
        <v>2.1600000000000001E-2</v>
      </c>
      <c r="T87" s="1">
        <v>1.9306000000000001</v>
      </c>
      <c r="U87" s="1">
        <v>2.7629000000000001</v>
      </c>
      <c r="V87" s="1">
        <v>1.9395</v>
      </c>
      <c r="W87" s="1">
        <v>100.5</v>
      </c>
      <c r="X87" s="1">
        <v>1</v>
      </c>
      <c r="Y87" s="1">
        <v>1.5097</v>
      </c>
      <c r="AA87" s="1">
        <v>0.51600000000000001</v>
      </c>
      <c r="AB87" s="1">
        <v>-0.77090000000000003</v>
      </c>
      <c r="AC87" s="1">
        <v>0.23469999999999999</v>
      </c>
      <c r="AD87" s="1">
        <v>4.0373000000000001</v>
      </c>
      <c r="AE87" s="1">
        <v>5.0701999999999998</v>
      </c>
      <c r="AF87" s="1">
        <v>2.2966000000000002</v>
      </c>
    </row>
    <row r="88" spans="1:32" s="1" customFormat="1" ht="11.25" x14ac:dyDescent="0.2">
      <c r="A88" s="1">
        <v>72</v>
      </c>
      <c r="B88" s="1">
        <v>1</v>
      </c>
      <c r="C88" s="1">
        <v>25</v>
      </c>
      <c r="D88" s="1">
        <v>1</v>
      </c>
      <c r="E88" s="1">
        <v>2.0287000000000002</v>
      </c>
      <c r="F88" s="1">
        <v>0.78010000000000002</v>
      </c>
      <c r="G88" s="1">
        <v>0.39910000000000001</v>
      </c>
      <c r="H88" s="1">
        <v>-0.57250000000000001</v>
      </c>
      <c r="I88" s="1">
        <v>1.9E-3</v>
      </c>
      <c r="J88" s="1">
        <v>3.4070999999999998</v>
      </c>
      <c r="K88" s="1">
        <v>3.8609</v>
      </c>
      <c r="L88" s="1">
        <v>2.0678000000000001</v>
      </c>
      <c r="M88" s="1">
        <v>-55.2</v>
      </c>
      <c r="N88" s="1">
        <v>1</v>
      </c>
      <c r="O88" s="1">
        <v>2.4546999999999999</v>
      </c>
      <c r="P88" s="1">
        <v>0.89810000000000001</v>
      </c>
      <c r="Q88" s="1">
        <v>0.39360000000000001</v>
      </c>
      <c r="R88" s="1">
        <v>-0.64339999999999997</v>
      </c>
      <c r="S88" s="1">
        <v>1.8800000000000001E-2</v>
      </c>
      <c r="T88" s="1">
        <v>1.8918999999999999</v>
      </c>
      <c r="U88" s="1">
        <v>2.794</v>
      </c>
      <c r="V88" s="1">
        <v>1.8968</v>
      </c>
      <c r="W88" s="1">
        <v>100.4</v>
      </c>
      <c r="X88" s="1">
        <v>1</v>
      </c>
      <c r="Y88" s="1">
        <v>1.512</v>
      </c>
      <c r="AA88" s="1">
        <v>0.49530000000000002</v>
      </c>
      <c r="AB88" s="1">
        <v>-0.70550000000000002</v>
      </c>
      <c r="AC88" s="1">
        <v>0.22070000000000001</v>
      </c>
      <c r="AD88" s="1">
        <v>4.0423999999999998</v>
      </c>
      <c r="AE88" s="1">
        <v>5.1158999999999999</v>
      </c>
      <c r="AF88" s="1">
        <v>2.2458</v>
      </c>
    </row>
    <row r="89" spans="1:32" s="1" customFormat="1" ht="11.25" x14ac:dyDescent="0.2">
      <c r="A89" s="1">
        <v>73</v>
      </c>
      <c r="B89" s="1">
        <v>1</v>
      </c>
      <c r="C89" s="1">
        <v>25</v>
      </c>
      <c r="D89" s="1">
        <v>1</v>
      </c>
      <c r="E89" s="1">
        <v>2.0207999999999999</v>
      </c>
      <c r="F89" s="1">
        <v>0.77470000000000006</v>
      </c>
      <c r="G89" s="1">
        <v>0.39810000000000001</v>
      </c>
      <c r="H89" s="1">
        <v>-0.56850000000000001</v>
      </c>
      <c r="I89" s="1">
        <v>1.8E-3</v>
      </c>
      <c r="J89" s="1">
        <v>3.4315000000000002</v>
      </c>
      <c r="K89" s="1">
        <v>3.847</v>
      </c>
      <c r="L89" s="1">
        <v>2.2435999999999998</v>
      </c>
      <c r="M89" s="1">
        <v>-55.2</v>
      </c>
      <c r="N89" s="1">
        <v>1</v>
      </c>
      <c r="O89" s="1">
        <v>2.4617</v>
      </c>
      <c r="P89" s="1">
        <v>0.89500000000000002</v>
      </c>
      <c r="Q89" s="1">
        <v>0.50190000000000001</v>
      </c>
      <c r="R89" s="1">
        <v>-0.51790000000000003</v>
      </c>
      <c r="S89" s="1">
        <v>2.1999999999999999E-2</v>
      </c>
      <c r="T89" s="1">
        <v>1.9908999999999999</v>
      </c>
      <c r="U89" s="1">
        <v>2.7523</v>
      </c>
      <c r="V89" s="1">
        <v>2.0674999999999999</v>
      </c>
      <c r="W89" s="1">
        <v>100.2</v>
      </c>
      <c r="X89" s="1">
        <v>1</v>
      </c>
      <c r="Y89" s="1">
        <v>1.4937</v>
      </c>
      <c r="AA89" s="1">
        <v>0.74209999999999998</v>
      </c>
      <c r="AB89" s="1">
        <v>-0.93759999999999999</v>
      </c>
      <c r="AC89" s="1">
        <v>0.23760000000000001</v>
      </c>
      <c r="AD89" s="1">
        <v>4.0659000000000001</v>
      </c>
      <c r="AE89" s="1">
        <v>5.0696000000000003</v>
      </c>
      <c r="AF89" s="1">
        <v>2.4308999999999998</v>
      </c>
    </row>
    <row r="90" spans="1:32" s="1" customFormat="1" ht="11.25" x14ac:dyDescent="0.2">
      <c r="A90" s="1">
        <v>74</v>
      </c>
      <c r="B90" s="1">
        <v>1</v>
      </c>
      <c r="C90" s="1">
        <v>25.2</v>
      </c>
      <c r="D90" s="1">
        <v>1</v>
      </c>
      <c r="E90" s="1">
        <v>2.0213999999999999</v>
      </c>
      <c r="F90" s="1">
        <v>0.77510000000000001</v>
      </c>
      <c r="G90" s="1">
        <v>0.47960000000000003</v>
      </c>
      <c r="H90" s="1">
        <v>-0.56379999999999997</v>
      </c>
      <c r="I90" s="1">
        <v>1.5E-3</v>
      </c>
      <c r="J90" s="1">
        <v>3.4535</v>
      </c>
      <c r="K90" s="1">
        <v>3.8784000000000001</v>
      </c>
      <c r="L90" s="1">
        <v>2.2736999999999998</v>
      </c>
      <c r="M90" s="1">
        <v>-54.6</v>
      </c>
      <c r="N90" s="1">
        <v>1</v>
      </c>
      <c r="O90" s="1">
        <v>2.4624999999999999</v>
      </c>
      <c r="P90" s="1">
        <v>0.89329999999999998</v>
      </c>
      <c r="Q90" s="1">
        <v>0.38879999999999998</v>
      </c>
      <c r="R90" s="1">
        <v>-0.59770000000000001</v>
      </c>
      <c r="S90" s="1">
        <v>2.0299999999999999E-2</v>
      </c>
      <c r="T90" s="1">
        <v>1.9389000000000001</v>
      </c>
      <c r="U90" s="1">
        <v>2.7443</v>
      </c>
      <c r="V90" s="1">
        <v>2.0985999999999998</v>
      </c>
      <c r="W90" s="1">
        <v>100.1</v>
      </c>
      <c r="X90" s="1">
        <v>1</v>
      </c>
      <c r="Y90" s="1">
        <v>1.4921</v>
      </c>
      <c r="AA90" s="1">
        <v>0.68400000000000005</v>
      </c>
      <c r="AB90" s="1">
        <v>-0.97060000000000002</v>
      </c>
      <c r="AC90" s="1">
        <v>0.23780000000000001</v>
      </c>
      <c r="AD90" s="1">
        <v>4.0929000000000002</v>
      </c>
      <c r="AE90" s="1">
        <v>5.133</v>
      </c>
      <c r="AF90" s="1">
        <v>2.4613999999999998</v>
      </c>
    </row>
    <row r="91" spans="1:32" s="1" customFormat="1" ht="11.25" x14ac:dyDescent="0.2">
      <c r="A91" s="1">
        <v>75</v>
      </c>
      <c r="B91" s="1">
        <v>1</v>
      </c>
      <c r="C91" s="1">
        <v>25</v>
      </c>
      <c r="D91" s="1">
        <v>1</v>
      </c>
      <c r="E91" s="1">
        <v>2.0076999999999998</v>
      </c>
      <c r="F91" s="1">
        <v>0.77610000000000001</v>
      </c>
      <c r="G91" s="1">
        <v>0.54679999999999995</v>
      </c>
      <c r="H91" s="1">
        <v>-0.77649999999999997</v>
      </c>
      <c r="I91" s="1">
        <v>1.6000000000000001E-3</v>
      </c>
      <c r="J91" s="1">
        <v>3.4437000000000002</v>
      </c>
      <c r="K91" s="1">
        <v>3.8702000000000001</v>
      </c>
      <c r="L91" s="1">
        <v>2.1158000000000001</v>
      </c>
      <c r="M91" s="1">
        <v>-55.4</v>
      </c>
      <c r="N91" s="1">
        <v>1</v>
      </c>
      <c r="O91" s="1">
        <v>2.4449000000000001</v>
      </c>
      <c r="P91" s="1">
        <v>0.89680000000000004</v>
      </c>
      <c r="Q91" s="1">
        <v>0.52400000000000002</v>
      </c>
      <c r="R91" s="1">
        <v>-0.72440000000000004</v>
      </c>
      <c r="S91" s="1">
        <v>2.12E-2</v>
      </c>
      <c r="T91" s="1">
        <v>1.9834000000000001</v>
      </c>
      <c r="U91" s="1">
        <v>2.7648000000000001</v>
      </c>
      <c r="V91" s="1">
        <v>1.9440999999999999</v>
      </c>
      <c r="W91" s="1">
        <v>100.3</v>
      </c>
      <c r="X91" s="1">
        <v>1</v>
      </c>
      <c r="Y91" s="1">
        <v>1.4773000000000001</v>
      </c>
      <c r="AA91" s="1">
        <v>0.71299999999999997</v>
      </c>
      <c r="AB91" s="1">
        <v>-0.91090000000000004</v>
      </c>
      <c r="AC91" s="1">
        <v>0.2495</v>
      </c>
      <c r="AD91" s="1">
        <v>4.0982000000000003</v>
      </c>
      <c r="AE91" s="1">
        <v>5.0937000000000001</v>
      </c>
      <c r="AF91" s="1">
        <v>2.2989999999999999</v>
      </c>
    </row>
    <row r="92" spans="1:32" s="1" customFormat="1" ht="11.25" x14ac:dyDescent="0.2">
      <c r="A92" s="1">
        <v>76</v>
      </c>
      <c r="B92" s="1">
        <v>1</v>
      </c>
      <c r="C92" s="1">
        <v>25</v>
      </c>
      <c r="D92" s="1">
        <v>1</v>
      </c>
      <c r="E92" s="1">
        <v>2.0243000000000002</v>
      </c>
      <c r="F92" s="1">
        <v>0.77539999999999998</v>
      </c>
      <c r="G92" s="1">
        <v>0.47260000000000002</v>
      </c>
      <c r="H92" s="1">
        <v>-0.6331</v>
      </c>
      <c r="I92" s="1">
        <v>1.8E-3</v>
      </c>
      <c r="J92" s="1">
        <v>3.4251999999999998</v>
      </c>
      <c r="K92" s="1">
        <v>3.8209</v>
      </c>
      <c r="L92" s="1">
        <v>2.2065000000000001</v>
      </c>
      <c r="M92" s="1">
        <v>-55.2</v>
      </c>
      <c r="N92" s="1">
        <v>1</v>
      </c>
      <c r="O92" s="1">
        <v>2.4622000000000002</v>
      </c>
      <c r="P92" s="1">
        <v>0.89590000000000003</v>
      </c>
      <c r="Q92" s="1">
        <v>0.3967</v>
      </c>
      <c r="R92" s="1">
        <v>-0.46200000000000002</v>
      </c>
      <c r="S92" s="1">
        <v>1.9099999999999999E-2</v>
      </c>
      <c r="T92" s="1">
        <v>1.8916999999999999</v>
      </c>
      <c r="U92" s="1">
        <v>2.7086000000000001</v>
      </c>
      <c r="V92" s="1">
        <v>2.0312000000000001</v>
      </c>
      <c r="W92" s="1">
        <v>100.2</v>
      </c>
      <c r="X92" s="1">
        <v>1</v>
      </c>
      <c r="Y92" s="1">
        <v>1.4923999999999999</v>
      </c>
      <c r="AA92" s="1">
        <v>0.78549999999999998</v>
      </c>
      <c r="AB92" s="1">
        <v>-0.92900000000000005</v>
      </c>
      <c r="AC92" s="1">
        <v>0.248</v>
      </c>
      <c r="AD92" s="1">
        <v>4.0620000000000003</v>
      </c>
      <c r="AE92" s="1">
        <v>5.0953999999999997</v>
      </c>
      <c r="AF92" s="1">
        <v>2.3925000000000001</v>
      </c>
    </row>
    <row r="93" spans="1:32" s="1" customFormat="1" ht="11.25" x14ac:dyDescent="0.2">
      <c r="A93" s="1">
        <v>77</v>
      </c>
      <c r="B93" s="1">
        <v>1</v>
      </c>
      <c r="C93" s="1">
        <v>25</v>
      </c>
      <c r="D93" s="1">
        <v>1</v>
      </c>
      <c r="E93" s="1">
        <v>2.0082</v>
      </c>
      <c r="F93" s="1">
        <v>0.77959999999999996</v>
      </c>
      <c r="G93" s="1">
        <v>0.58050000000000002</v>
      </c>
      <c r="H93" s="1">
        <v>-0.76800000000000002</v>
      </c>
      <c r="I93" s="1">
        <v>1.6000000000000001E-3</v>
      </c>
      <c r="J93" s="1">
        <v>3.4013</v>
      </c>
      <c r="K93" s="1">
        <v>3.7980999999999998</v>
      </c>
      <c r="L93" s="1">
        <v>1.9277</v>
      </c>
      <c r="M93" s="1">
        <v>-55.2</v>
      </c>
      <c r="N93" s="1">
        <v>1</v>
      </c>
      <c r="O93" s="1">
        <v>2.4417</v>
      </c>
      <c r="P93" s="1">
        <v>0.89849999999999997</v>
      </c>
      <c r="Q93" s="1">
        <v>0.53510000000000002</v>
      </c>
      <c r="R93" s="1">
        <v>-0.75039999999999996</v>
      </c>
      <c r="S93" s="1">
        <v>2.24E-2</v>
      </c>
      <c r="T93" s="1">
        <v>1.9056999999999999</v>
      </c>
      <c r="U93" s="1">
        <v>2.7242000000000002</v>
      </c>
      <c r="V93" s="1">
        <v>1.7603</v>
      </c>
      <c r="W93" s="1">
        <v>100.4</v>
      </c>
      <c r="X93" s="1">
        <v>1</v>
      </c>
      <c r="Y93" s="1">
        <v>1.4812000000000001</v>
      </c>
      <c r="AA93" s="1">
        <v>0.75860000000000005</v>
      </c>
      <c r="AB93" s="1">
        <v>-0.94389999999999996</v>
      </c>
      <c r="AC93" s="1">
        <v>0.2369</v>
      </c>
      <c r="AD93" s="1">
        <v>4.0350999999999999</v>
      </c>
      <c r="AE93" s="1">
        <v>5.0186999999999999</v>
      </c>
      <c r="AF93" s="1">
        <v>2.1023000000000001</v>
      </c>
    </row>
    <row r="94" spans="1:32" s="1" customFormat="1" ht="11.25" x14ac:dyDescent="0.2">
      <c r="A94" s="1">
        <v>78</v>
      </c>
      <c r="B94" s="1">
        <v>1</v>
      </c>
      <c r="C94" s="1">
        <v>24.9</v>
      </c>
      <c r="D94" s="1">
        <v>1</v>
      </c>
      <c r="E94" s="1">
        <v>1.9877</v>
      </c>
      <c r="F94" s="1">
        <v>0.77490000000000003</v>
      </c>
      <c r="G94" s="1">
        <v>0.63939999999999997</v>
      </c>
      <c r="H94" s="1">
        <v>-0.59660000000000002</v>
      </c>
      <c r="I94" s="1">
        <v>1.6000000000000001E-3</v>
      </c>
      <c r="J94" s="1">
        <v>3.4243999999999999</v>
      </c>
      <c r="K94" s="1">
        <v>3.8279999999999998</v>
      </c>
      <c r="L94" s="1">
        <v>2.1522999999999999</v>
      </c>
      <c r="M94" s="1">
        <v>-55.2</v>
      </c>
      <c r="N94" s="1">
        <v>1</v>
      </c>
      <c r="O94" s="1">
        <v>2.4154</v>
      </c>
      <c r="P94" s="1">
        <v>0.89580000000000004</v>
      </c>
      <c r="Q94" s="1">
        <v>0.53890000000000005</v>
      </c>
      <c r="R94" s="1">
        <v>-0.50980000000000003</v>
      </c>
      <c r="S94" s="1">
        <v>2.3099999999999999E-2</v>
      </c>
      <c r="T94" s="1">
        <v>1.9709000000000001</v>
      </c>
      <c r="U94" s="1">
        <v>2.7549000000000001</v>
      </c>
      <c r="V94" s="1">
        <v>1.9765999999999999</v>
      </c>
      <c r="W94" s="1">
        <v>100.3</v>
      </c>
      <c r="X94" s="1">
        <v>1</v>
      </c>
      <c r="Y94" s="1">
        <v>1.4661</v>
      </c>
      <c r="AA94" s="1">
        <v>0.47789999999999999</v>
      </c>
      <c r="AB94" s="1">
        <v>-0.68730000000000002</v>
      </c>
      <c r="AC94" s="1">
        <v>0.26119999999999999</v>
      </c>
      <c r="AD94" s="1">
        <v>4.0769000000000002</v>
      </c>
      <c r="AE94" s="1">
        <v>5.0625999999999998</v>
      </c>
      <c r="AF94" s="1">
        <v>2.3363</v>
      </c>
    </row>
    <row r="95" spans="1:32" s="1" customFormat="1" ht="11.25" x14ac:dyDescent="0.2">
      <c r="A95" s="1">
        <v>79</v>
      </c>
      <c r="B95" s="1">
        <v>15</v>
      </c>
      <c r="C95" s="1">
        <v>25</v>
      </c>
      <c r="D95" s="1">
        <v>1</v>
      </c>
      <c r="E95" s="1">
        <v>2.1446000000000001</v>
      </c>
      <c r="F95" s="1">
        <v>0.78620000000000001</v>
      </c>
      <c r="G95" s="1">
        <v>0.3155</v>
      </c>
      <c r="H95" s="1">
        <v>-0.40410000000000001</v>
      </c>
      <c r="I95" s="1">
        <v>1.4E-3</v>
      </c>
      <c r="J95" s="1">
        <v>3.4121000000000001</v>
      </c>
      <c r="K95" s="1">
        <v>3.8953000000000002</v>
      </c>
      <c r="L95" s="1">
        <v>1.8107</v>
      </c>
      <c r="M95" s="1">
        <v>-55</v>
      </c>
      <c r="N95" s="1">
        <v>1</v>
      </c>
      <c r="O95" s="1">
        <v>2.5912000000000002</v>
      </c>
      <c r="P95" s="1">
        <v>0.89990000000000003</v>
      </c>
      <c r="Q95" s="1">
        <v>0.28639999999999999</v>
      </c>
      <c r="R95" s="1">
        <v>-0.40260000000000001</v>
      </c>
      <c r="S95" s="1">
        <v>2.2599999999999999E-2</v>
      </c>
      <c r="T95" s="1">
        <v>1.9460999999999999</v>
      </c>
      <c r="U95" s="1">
        <v>2.8565999999999998</v>
      </c>
      <c r="V95" s="1">
        <v>1.651</v>
      </c>
      <c r="W95" s="1">
        <v>100.1</v>
      </c>
      <c r="X95" s="1">
        <v>1</v>
      </c>
      <c r="Y95" s="1">
        <v>1.6331</v>
      </c>
      <c r="AA95" s="1">
        <v>0.77559999999999996</v>
      </c>
      <c r="AB95" s="1">
        <v>-0.93769999999999998</v>
      </c>
      <c r="AC95" s="1">
        <v>0.14199999999999999</v>
      </c>
      <c r="AD95" s="1">
        <v>4.0007000000000001</v>
      </c>
      <c r="AE95" s="1">
        <v>5.0548000000000002</v>
      </c>
      <c r="AF95" s="1">
        <v>1.9716</v>
      </c>
    </row>
    <row r="96" spans="1:32" s="1" customFormat="1" ht="11.25" x14ac:dyDescent="0.2">
      <c r="A96" s="1">
        <v>80</v>
      </c>
      <c r="B96" s="1">
        <v>1</v>
      </c>
      <c r="C96" s="1">
        <v>25</v>
      </c>
      <c r="D96" s="1">
        <v>1</v>
      </c>
      <c r="E96" s="1">
        <v>1.9951000000000001</v>
      </c>
      <c r="F96" s="1">
        <v>0.77759999999999996</v>
      </c>
      <c r="G96" s="1">
        <v>0.62770000000000004</v>
      </c>
      <c r="H96" s="1">
        <v>-0.79749999999999999</v>
      </c>
      <c r="I96" s="1">
        <v>1.5E-3</v>
      </c>
      <c r="J96" s="1">
        <v>3.4068999999999998</v>
      </c>
      <c r="K96" s="1">
        <v>3.8031999999999999</v>
      </c>
      <c r="L96" s="1">
        <v>1.9555</v>
      </c>
      <c r="M96" s="1">
        <v>-55.3</v>
      </c>
      <c r="N96" s="1">
        <v>1</v>
      </c>
      <c r="O96" s="1">
        <v>2.4388999999999998</v>
      </c>
      <c r="P96" s="1">
        <v>0.8972</v>
      </c>
      <c r="Q96" s="1">
        <v>0.62</v>
      </c>
      <c r="R96" s="1">
        <v>-0.72619999999999996</v>
      </c>
      <c r="S96" s="1">
        <v>2.06E-2</v>
      </c>
      <c r="T96" s="1">
        <v>1.9446000000000001</v>
      </c>
      <c r="U96" s="1">
        <v>2.7115999999999998</v>
      </c>
      <c r="V96" s="1">
        <v>1.7890999999999999</v>
      </c>
      <c r="W96" s="1">
        <v>100.3</v>
      </c>
      <c r="X96" s="1">
        <v>1</v>
      </c>
      <c r="Y96" s="1">
        <v>1.4663999999999999</v>
      </c>
      <c r="AA96" s="1">
        <v>0.68069999999999997</v>
      </c>
      <c r="AB96" s="1">
        <v>-0.69840000000000002</v>
      </c>
      <c r="AC96" s="1">
        <v>0.25140000000000001</v>
      </c>
      <c r="AD96" s="1">
        <v>3.9839000000000002</v>
      </c>
      <c r="AE96" s="1">
        <v>5.0183999999999997</v>
      </c>
      <c r="AF96" s="1">
        <v>2.1311</v>
      </c>
    </row>
    <row r="97" spans="1:32" s="1" customFormat="1" ht="11.25" x14ac:dyDescent="0.2">
      <c r="A97" s="1">
        <v>82</v>
      </c>
      <c r="B97" s="1">
        <v>1</v>
      </c>
      <c r="C97" s="1">
        <v>24.9</v>
      </c>
      <c r="D97" s="1">
        <v>1</v>
      </c>
      <c r="E97" s="1">
        <v>1.9530000000000001</v>
      </c>
      <c r="F97" s="1">
        <v>0.77490000000000003</v>
      </c>
      <c r="G97" s="1">
        <v>0.4577</v>
      </c>
      <c r="H97" s="1">
        <v>-0.51539999999999997</v>
      </c>
      <c r="I97" s="1">
        <v>1.6999999999999999E-3</v>
      </c>
      <c r="J97" s="1">
        <v>3.3936999999999999</v>
      </c>
      <c r="K97" s="1">
        <v>3.7736999999999998</v>
      </c>
      <c r="L97" s="1">
        <v>2.1074000000000002</v>
      </c>
      <c r="M97" s="1">
        <v>-55.2</v>
      </c>
      <c r="N97" s="1">
        <v>1</v>
      </c>
      <c r="O97" s="1">
        <v>2.3658000000000001</v>
      </c>
      <c r="P97" s="1">
        <v>0.89539999999999997</v>
      </c>
      <c r="Q97" s="1">
        <v>0.51039999999999996</v>
      </c>
      <c r="R97" s="1">
        <v>-0.52339999999999998</v>
      </c>
      <c r="S97" s="1">
        <v>2.1399999999999999E-2</v>
      </c>
      <c r="T97" s="1">
        <v>1.9952000000000001</v>
      </c>
      <c r="U97" s="1">
        <v>2.7201</v>
      </c>
      <c r="V97" s="1">
        <v>1.9339999999999999</v>
      </c>
      <c r="W97" s="1">
        <v>100.4</v>
      </c>
      <c r="X97" s="1">
        <v>1</v>
      </c>
      <c r="Y97" s="1">
        <v>1.4449000000000001</v>
      </c>
      <c r="AA97" s="1">
        <v>0.74439999999999995</v>
      </c>
      <c r="AB97" s="1">
        <v>-0.84230000000000005</v>
      </c>
      <c r="AC97" s="1">
        <v>0.26029999999999998</v>
      </c>
      <c r="AD97" s="1">
        <v>3.9925000000000002</v>
      </c>
      <c r="AE97" s="1">
        <v>4.9785000000000004</v>
      </c>
      <c r="AF97" s="1">
        <v>2.2907000000000002</v>
      </c>
    </row>
    <row r="98" spans="1:32" s="1" customFormat="1" ht="11.25" x14ac:dyDescent="0.2">
      <c r="A98" s="1">
        <v>83</v>
      </c>
      <c r="B98" s="1">
        <v>1</v>
      </c>
      <c r="C98" s="1">
        <v>25.1</v>
      </c>
      <c r="D98" s="1">
        <v>1</v>
      </c>
      <c r="E98" s="1">
        <v>2.0289000000000001</v>
      </c>
      <c r="F98" s="1">
        <v>0.77610000000000001</v>
      </c>
      <c r="G98" s="1">
        <v>0.64870000000000005</v>
      </c>
      <c r="H98" s="1">
        <v>-0.67459999999999998</v>
      </c>
      <c r="I98" s="1">
        <v>1.8E-3</v>
      </c>
      <c r="J98" s="1">
        <v>3.4319000000000002</v>
      </c>
      <c r="K98" s="1">
        <v>3.8523999999999998</v>
      </c>
      <c r="L98" s="1">
        <v>2.2130999999999998</v>
      </c>
      <c r="M98" s="1">
        <v>-55.3</v>
      </c>
      <c r="N98" s="1">
        <v>1</v>
      </c>
      <c r="O98" s="1">
        <v>2.4630000000000001</v>
      </c>
      <c r="P98" s="1">
        <v>0.89690000000000003</v>
      </c>
      <c r="Q98" s="1">
        <v>0.59889999999999999</v>
      </c>
      <c r="R98" s="1">
        <v>-0.61699999999999999</v>
      </c>
      <c r="S98" s="1">
        <v>2.07E-2</v>
      </c>
      <c r="T98" s="1">
        <v>1.9630000000000001</v>
      </c>
      <c r="U98" s="1">
        <v>2.7715000000000001</v>
      </c>
      <c r="V98" s="1">
        <v>2.0350999999999999</v>
      </c>
      <c r="W98" s="1">
        <v>100.3</v>
      </c>
      <c r="X98" s="1">
        <v>1</v>
      </c>
      <c r="Y98" s="1">
        <v>1.5029999999999999</v>
      </c>
      <c r="AA98" s="1">
        <v>0.65300000000000002</v>
      </c>
      <c r="AB98" s="1">
        <v>-0.96850000000000003</v>
      </c>
      <c r="AC98" s="1">
        <v>0.2324</v>
      </c>
      <c r="AD98" s="1">
        <v>4.0418000000000003</v>
      </c>
      <c r="AE98" s="1">
        <v>5.0675999999999997</v>
      </c>
      <c r="AF98" s="1">
        <v>2.3967000000000001</v>
      </c>
    </row>
    <row r="99" spans="1:32" s="1" customFormat="1" ht="11.25" x14ac:dyDescent="0.2">
      <c r="A99" s="1">
        <v>84</v>
      </c>
      <c r="B99" s="1">
        <v>1</v>
      </c>
      <c r="C99" s="1">
        <v>25</v>
      </c>
      <c r="D99" s="1">
        <v>1</v>
      </c>
      <c r="E99" s="1">
        <v>1.9961</v>
      </c>
      <c r="F99" s="1">
        <v>0.77690000000000003</v>
      </c>
      <c r="G99" s="1">
        <v>0.59960000000000002</v>
      </c>
      <c r="H99" s="1">
        <v>-0.78420000000000001</v>
      </c>
      <c r="I99" s="1">
        <v>1.6000000000000001E-3</v>
      </c>
      <c r="J99" s="1">
        <v>3.4702999999999999</v>
      </c>
      <c r="K99" s="1">
        <v>3.8811</v>
      </c>
      <c r="L99" s="1">
        <v>2.1427</v>
      </c>
      <c r="M99" s="1">
        <v>-55.2</v>
      </c>
      <c r="N99" s="1">
        <v>1</v>
      </c>
      <c r="O99" s="1">
        <v>2.4211999999999998</v>
      </c>
      <c r="P99" s="1">
        <v>0.89700000000000002</v>
      </c>
      <c r="Q99" s="1">
        <v>0.51429999999999998</v>
      </c>
      <c r="R99" s="1">
        <v>-0.7238</v>
      </c>
      <c r="S99" s="1">
        <v>2.0799999999999999E-2</v>
      </c>
      <c r="T99" s="1">
        <v>1.9859</v>
      </c>
      <c r="U99" s="1">
        <v>2.7706</v>
      </c>
      <c r="V99" s="1">
        <v>1.9686999999999999</v>
      </c>
      <c r="W99" s="1">
        <v>100.1</v>
      </c>
      <c r="X99" s="1">
        <v>1</v>
      </c>
      <c r="Y99" s="1">
        <v>1.4757</v>
      </c>
      <c r="AA99" s="1">
        <v>0.58420000000000005</v>
      </c>
      <c r="AB99" s="1">
        <v>-0.91849999999999998</v>
      </c>
      <c r="AC99" s="1">
        <v>0.2414</v>
      </c>
      <c r="AD99" s="1">
        <v>4.0925000000000002</v>
      </c>
      <c r="AE99" s="1">
        <v>5.1041999999999996</v>
      </c>
      <c r="AF99" s="1">
        <v>2.3262999999999998</v>
      </c>
    </row>
    <row r="100" spans="1:32" s="1" customFormat="1" ht="11.25" x14ac:dyDescent="0.2">
      <c r="A100" s="1">
        <v>85</v>
      </c>
      <c r="B100" s="1">
        <v>1</v>
      </c>
      <c r="C100" s="1">
        <v>25</v>
      </c>
      <c r="D100" s="1">
        <v>1</v>
      </c>
      <c r="E100" s="1">
        <v>2.0589</v>
      </c>
      <c r="F100" s="1">
        <v>0.77980000000000005</v>
      </c>
      <c r="G100" s="1">
        <v>0.53990000000000005</v>
      </c>
      <c r="H100" s="1">
        <v>-0.56030000000000002</v>
      </c>
      <c r="I100" s="1">
        <v>1.6000000000000001E-3</v>
      </c>
      <c r="J100" s="1">
        <v>3.4037000000000002</v>
      </c>
      <c r="K100" s="1">
        <v>3.8105000000000002</v>
      </c>
      <c r="L100" s="1">
        <v>2.0285000000000002</v>
      </c>
      <c r="M100" s="1">
        <v>-55.2</v>
      </c>
      <c r="N100" s="1">
        <v>1</v>
      </c>
      <c r="O100" s="1">
        <v>2.4984999999999999</v>
      </c>
      <c r="P100" s="1">
        <v>0.89810000000000001</v>
      </c>
      <c r="Q100" s="1">
        <v>0.35809999999999997</v>
      </c>
      <c r="R100" s="1">
        <v>-0.51719999999999999</v>
      </c>
      <c r="S100" s="1">
        <v>2.0400000000000001E-2</v>
      </c>
      <c r="T100" s="1">
        <v>1.9443999999999999</v>
      </c>
      <c r="U100" s="1">
        <v>2.7686999999999999</v>
      </c>
      <c r="V100" s="1">
        <v>1.8576999999999999</v>
      </c>
      <c r="W100" s="1">
        <v>100.1</v>
      </c>
      <c r="X100" s="1">
        <v>1</v>
      </c>
      <c r="Y100" s="1">
        <v>1.5274000000000001</v>
      </c>
      <c r="AA100" s="1">
        <v>0.59379999999999999</v>
      </c>
      <c r="AB100" s="1">
        <v>-0.69130000000000003</v>
      </c>
      <c r="AC100" s="1">
        <v>0.2165</v>
      </c>
      <c r="AD100" s="1">
        <v>3.9860000000000002</v>
      </c>
      <c r="AE100" s="1">
        <v>5.0613999999999999</v>
      </c>
      <c r="AF100" s="1">
        <v>2.2057000000000002</v>
      </c>
    </row>
    <row r="101" spans="1:32" s="1" customFormat="1" ht="11.25" x14ac:dyDescent="0.2">
      <c r="A101" s="1">
        <v>86</v>
      </c>
      <c r="B101" s="1">
        <v>1</v>
      </c>
      <c r="C101" s="1">
        <v>25</v>
      </c>
      <c r="D101" s="1">
        <v>1</v>
      </c>
      <c r="E101" s="1">
        <v>1.929</v>
      </c>
      <c r="F101" s="1">
        <v>0.77449999999999997</v>
      </c>
      <c r="G101" s="1">
        <v>0.65559999999999996</v>
      </c>
      <c r="H101" s="1">
        <v>-0.76449999999999996</v>
      </c>
      <c r="I101" s="1">
        <v>2E-3</v>
      </c>
      <c r="J101" s="1">
        <v>3.4914999999999998</v>
      </c>
      <c r="K101" s="1">
        <v>3.8437999999999999</v>
      </c>
      <c r="L101" s="1">
        <v>2.2826</v>
      </c>
      <c r="M101" s="1">
        <v>-55.2</v>
      </c>
      <c r="N101" s="1">
        <v>1</v>
      </c>
      <c r="O101" s="1">
        <v>2.3523000000000001</v>
      </c>
      <c r="P101" s="1">
        <v>0.89480000000000004</v>
      </c>
      <c r="Q101" s="1">
        <v>0.58899999999999997</v>
      </c>
      <c r="R101" s="1">
        <v>-0.71640000000000004</v>
      </c>
      <c r="S101" s="1">
        <v>2.2100000000000002E-2</v>
      </c>
      <c r="T101" s="1">
        <v>1.9837</v>
      </c>
      <c r="U101" s="1">
        <v>2.738</v>
      </c>
      <c r="V101" s="1">
        <v>2.1093000000000002</v>
      </c>
      <c r="W101" s="1">
        <v>100.3</v>
      </c>
      <c r="X101" s="1">
        <v>1</v>
      </c>
      <c r="Y101" s="1">
        <v>1.4154</v>
      </c>
      <c r="AA101" s="1">
        <v>0.70540000000000003</v>
      </c>
      <c r="AB101" s="1">
        <v>-0.94589999999999996</v>
      </c>
      <c r="AC101" s="1">
        <v>0.24199999999999999</v>
      </c>
      <c r="AD101" s="1">
        <v>4.1683000000000003</v>
      </c>
      <c r="AE101" s="1">
        <v>5.1025999999999998</v>
      </c>
      <c r="AF101" s="1">
        <v>2.4704000000000002</v>
      </c>
    </row>
    <row r="102" spans="1:32" s="1" customFormat="1" ht="11.25" x14ac:dyDescent="0.2">
      <c r="A102" s="1">
        <v>87</v>
      </c>
      <c r="B102" s="1">
        <v>1</v>
      </c>
      <c r="C102" s="1">
        <v>25.1</v>
      </c>
      <c r="D102" s="1">
        <v>1</v>
      </c>
      <c r="E102" s="1">
        <v>2.0478999999999998</v>
      </c>
      <c r="F102" s="1">
        <v>0.77710000000000001</v>
      </c>
      <c r="G102" s="1">
        <v>0.48959999999999998</v>
      </c>
      <c r="H102" s="1">
        <v>-0.54410000000000003</v>
      </c>
      <c r="I102" s="1">
        <v>2E-3</v>
      </c>
      <c r="J102" s="1">
        <v>3.4056999999999999</v>
      </c>
      <c r="K102" s="1">
        <v>3.8241000000000001</v>
      </c>
      <c r="L102" s="1">
        <v>2.1395</v>
      </c>
      <c r="M102" s="1">
        <v>-55.1</v>
      </c>
      <c r="N102" s="1">
        <v>1</v>
      </c>
      <c r="O102" s="1">
        <v>2.4954000000000001</v>
      </c>
      <c r="P102" s="1">
        <v>0.8962</v>
      </c>
      <c r="Q102" s="1">
        <v>0.46899999999999997</v>
      </c>
      <c r="R102" s="1">
        <v>-0.47510000000000002</v>
      </c>
      <c r="S102" s="1">
        <v>2.1399999999999999E-2</v>
      </c>
      <c r="T102" s="1">
        <v>1.9390000000000001</v>
      </c>
      <c r="U102" s="1">
        <v>2.7555000000000001</v>
      </c>
      <c r="V102" s="1">
        <v>1.9642999999999999</v>
      </c>
      <c r="W102" s="1">
        <v>100.3</v>
      </c>
      <c r="X102" s="1">
        <v>1</v>
      </c>
      <c r="Y102" s="1">
        <v>1.512</v>
      </c>
      <c r="AA102" s="1">
        <v>0.76070000000000004</v>
      </c>
      <c r="AB102" s="1">
        <v>-0.92230000000000001</v>
      </c>
      <c r="AC102" s="1">
        <v>0.23039999999999999</v>
      </c>
      <c r="AD102" s="1">
        <v>4.0273000000000003</v>
      </c>
      <c r="AE102" s="1">
        <v>5.0709</v>
      </c>
      <c r="AF102" s="1">
        <v>2.3237999999999999</v>
      </c>
    </row>
    <row r="103" spans="1:32" s="1" customFormat="1" ht="11.25" x14ac:dyDescent="0.2">
      <c r="A103" s="1">
        <v>88</v>
      </c>
      <c r="B103" s="1">
        <v>1</v>
      </c>
      <c r="C103" s="1">
        <v>25</v>
      </c>
      <c r="D103" s="1">
        <v>1</v>
      </c>
      <c r="E103" s="1">
        <v>2.0234999999999999</v>
      </c>
      <c r="F103" s="1">
        <v>0.78659999999999997</v>
      </c>
      <c r="G103" s="1">
        <v>0.64170000000000005</v>
      </c>
      <c r="H103" s="1">
        <v>-0.76529999999999998</v>
      </c>
      <c r="I103" s="1">
        <v>1.4E-3</v>
      </c>
      <c r="J103" s="1">
        <v>3.3912</v>
      </c>
      <c r="K103" s="1">
        <v>4.2587999999999999</v>
      </c>
      <c r="L103" s="1">
        <v>1.802</v>
      </c>
      <c r="M103" s="1">
        <v>-55.1</v>
      </c>
      <c r="N103" s="1">
        <v>1</v>
      </c>
      <c r="O103" s="1">
        <v>2.4409000000000001</v>
      </c>
      <c r="P103" s="1">
        <v>0.90239999999999998</v>
      </c>
      <c r="Q103" s="1">
        <v>0.61980000000000002</v>
      </c>
      <c r="R103" s="1">
        <v>-0.59030000000000005</v>
      </c>
      <c r="S103" s="1">
        <v>1.9900000000000001E-2</v>
      </c>
      <c r="T103" s="1">
        <v>1.92</v>
      </c>
      <c r="U103" s="1">
        <v>3.2269999999999999</v>
      </c>
      <c r="V103" s="1">
        <v>1.6416999999999999</v>
      </c>
      <c r="W103" s="1">
        <v>100.2</v>
      </c>
      <c r="X103" s="1">
        <v>1</v>
      </c>
      <c r="Y103" s="1">
        <v>1.5299</v>
      </c>
      <c r="AA103" s="1">
        <v>0.50360000000000005</v>
      </c>
      <c r="AB103" s="1">
        <v>-0.74060000000000004</v>
      </c>
      <c r="AC103" s="1">
        <v>0.18729999999999999</v>
      </c>
      <c r="AD103" s="1">
        <v>4.0141999999999998</v>
      </c>
      <c r="AE103" s="1">
        <v>5.4066999999999998</v>
      </c>
      <c r="AF103" s="1">
        <v>1.9688000000000001</v>
      </c>
    </row>
    <row r="104" spans="1:32" s="1" customFormat="1" ht="11.25" x14ac:dyDescent="0.2">
      <c r="A104" s="1">
        <v>89</v>
      </c>
      <c r="B104" s="1">
        <v>1</v>
      </c>
      <c r="C104" s="1">
        <v>25</v>
      </c>
      <c r="D104" s="1">
        <v>1</v>
      </c>
      <c r="E104" s="1">
        <v>1.9735</v>
      </c>
      <c r="F104" s="1">
        <v>0.77780000000000005</v>
      </c>
      <c r="G104" s="1">
        <v>0.5323</v>
      </c>
      <c r="H104" s="1">
        <v>-0.53259999999999996</v>
      </c>
      <c r="I104" s="1">
        <v>1.6000000000000001E-3</v>
      </c>
      <c r="J104" s="1">
        <v>3.464</v>
      </c>
      <c r="K104" s="1">
        <v>3.8831000000000002</v>
      </c>
      <c r="L104" s="1">
        <v>2.1282000000000001</v>
      </c>
      <c r="M104" s="1">
        <v>-55.2</v>
      </c>
      <c r="N104" s="1">
        <v>1</v>
      </c>
      <c r="O104" s="1">
        <v>2.3875000000000002</v>
      </c>
      <c r="P104" s="1">
        <v>0.89690000000000003</v>
      </c>
      <c r="Q104" s="1">
        <v>0.41799999999999998</v>
      </c>
      <c r="R104" s="1">
        <v>-0.47010000000000002</v>
      </c>
      <c r="S104" s="1">
        <v>2.2700000000000001E-2</v>
      </c>
      <c r="T104" s="1">
        <v>1.9089</v>
      </c>
      <c r="U104" s="1">
        <v>2.7780999999999998</v>
      </c>
      <c r="V104" s="1">
        <v>1.9559</v>
      </c>
      <c r="W104" s="1">
        <v>100.3</v>
      </c>
      <c r="X104" s="1">
        <v>1</v>
      </c>
      <c r="Y104" s="1">
        <v>1.4670000000000001</v>
      </c>
      <c r="AA104" s="1">
        <v>0.73319999999999996</v>
      </c>
      <c r="AB104" s="1">
        <v>-0.97450000000000003</v>
      </c>
      <c r="AC104" s="1">
        <v>0.2334</v>
      </c>
      <c r="AD104" s="1">
        <v>4.0749000000000004</v>
      </c>
      <c r="AE104" s="1">
        <v>5.1064999999999996</v>
      </c>
      <c r="AF104" s="1">
        <v>2.3096000000000001</v>
      </c>
    </row>
    <row r="105" spans="1:32" s="1" customFormat="1" ht="11.25" x14ac:dyDescent="0.2">
      <c r="A105" s="1">
        <v>90</v>
      </c>
      <c r="B105" s="1">
        <v>15</v>
      </c>
      <c r="C105" s="1">
        <v>25</v>
      </c>
      <c r="D105" s="1">
        <v>1</v>
      </c>
      <c r="E105" s="1">
        <v>2.2172999999999998</v>
      </c>
      <c r="F105" s="1">
        <v>0.78569999999999995</v>
      </c>
      <c r="G105" s="1">
        <v>0.38319999999999999</v>
      </c>
      <c r="H105" s="1">
        <v>-0.28760000000000002</v>
      </c>
      <c r="I105" s="1">
        <v>1.8E-3</v>
      </c>
      <c r="J105" s="1">
        <v>3.4811999999999999</v>
      </c>
      <c r="K105" s="1">
        <v>4.0359999999999996</v>
      </c>
      <c r="L105" s="1">
        <v>1.9373</v>
      </c>
      <c r="M105" s="1">
        <v>-55</v>
      </c>
      <c r="N105" s="1">
        <v>1</v>
      </c>
      <c r="O105" s="1">
        <v>2.6875</v>
      </c>
      <c r="P105" s="1">
        <v>0.89759999999999995</v>
      </c>
      <c r="Q105" s="1">
        <v>0.27710000000000001</v>
      </c>
      <c r="R105" s="1">
        <v>-0.2447</v>
      </c>
      <c r="S105" s="1">
        <v>2.1399999999999999E-2</v>
      </c>
      <c r="T105" s="1">
        <v>2.0638999999999998</v>
      </c>
      <c r="U105" s="1">
        <v>2.9983</v>
      </c>
      <c r="V105" s="1">
        <v>1.7794000000000001</v>
      </c>
      <c r="W105" s="1">
        <v>100.1</v>
      </c>
      <c r="X105" s="1">
        <v>1</v>
      </c>
      <c r="Y105" s="1">
        <v>1.6943999999999999</v>
      </c>
      <c r="AA105" s="1">
        <v>0.75700000000000001</v>
      </c>
      <c r="AB105" s="1">
        <v>-1.0883</v>
      </c>
      <c r="AC105" s="1">
        <v>0.1089</v>
      </c>
      <c r="AD105" s="1">
        <v>4.0442</v>
      </c>
      <c r="AE105" s="1">
        <v>5.1565000000000003</v>
      </c>
      <c r="AF105" s="1">
        <v>2.0988000000000002</v>
      </c>
    </row>
    <row r="106" spans="1:32" s="1" customFormat="1" ht="11.25" x14ac:dyDescent="0.2">
      <c r="A106" s="1">
        <v>91</v>
      </c>
      <c r="B106" s="1">
        <v>1</v>
      </c>
      <c r="C106" s="1">
        <v>24.9</v>
      </c>
      <c r="D106" s="1">
        <v>1</v>
      </c>
      <c r="E106" s="1">
        <v>1.9253</v>
      </c>
      <c r="F106" s="1">
        <v>0.7742</v>
      </c>
      <c r="G106" s="1">
        <v>0.52470000000000006</v>
      </c>
      <c r="H106" s="1">
        <v>-0.75119999999999998</v>
      </c>
      <c r="I106" s="1">
        <v>1.5E-3</v>
      </c>
      <c r="J106" s="1">
        <v>3.4973000000000001</v>
      </c>
      <c r="K106" s="1">
        <v>3.8046000000000002</v>
      </c>
      <c r="L106" s="1">
        <v>2.2816000000000001</v>
      </c>
      <c r="M106" s="1">
        <v>-55.1</v>
      </c>
      <c r="N106" s="1">
        <v>1</v>
      </c>
      <c r="O106" s="1">
        <v>2.3576000000000001</v>
      </c>
      <c r="P106" s="1">
        <v>0.89459999999999995</v>
      </c>
      <c r="Q106" s="1">
        <v>0.47670000000000001</v>
      </c>
      <c r="R106" s="1">
        <v>-0.67649999999999999</v>
      </c>
      <c r="S106" s="1">
        <v>2.07E-2</v>
      </c>
      <c r="T106" s="1">
        <v>1.9573</v>
      </c>
      <c r="U106" s="1">
        <v>2.7105000000000001</v>
      </c>
      <c r="V106" s="1">
        <v>2.1057999999999999</v>
      </c>
      <c r="W106" s="1">
        <v>100.3</v>
      </c>
      <c r="X106" s="1">
        <v>1</v>
      </c>
      <c r="Y106" s="1">
        <v>1.4071</v>
      </c>
      <c r="AA106" s="1">
        <v>0.53680000000000005</v>
      </c>
      <c r="AB106" s="1">
        <v>-0.66059999999999997</v>
      </c>
      <c r="AC106" s="1">
        <v>0.25459999999999999</v>
      </c>
      <c r="AD106" s="1">
        <v>4.1303999999999998</v>
      </c>
      <c r="AE106" s="1">
        <v>5.0930999999999997</v>
      </c>
      <c r="AF106" s="1">
        <v>2.4676999999999998</v>
      </c>
    </row>
    <row r="107" spans="1:32" s="1" customFormat="1" ht="11.25" x14ac:dyDescent="0.2">
      <c r="A107" s="1">
        <v>92</v>
      </c>
      <c r="B107" s="1">
        <v>1</v>
      </c>
      <c r="C107" s="1">
        <v>25</v>
      </c>
      <c r="D107" s="1">
        <v>1</v>
      </c>
      <c r="E107" s="1">
        <v>2.0055000000000001</v>
      </c>
      <c r="F107" s="1">
        <v>0.77790000000000004</v>
      </c>
      <c r="G107" s="1">
        <v>0.65620000000000001</v>
      </c>
      <c r="H107" s="1">
        <v>-0.70230000000000004</v>
      </c>
      <c r="I107" s="1">
        <v>1.6999999999999999E-3</v>
      </c>
      <c r="J107" s="1">
        <v>3.4662000000000002</v>
      </c>
      <c r="K107" s="1">
        <v>3.8954</v>
      </c>
      <c r="L107" s="1">
        <v>2.0832000000000002</v>
      </c>
      <c r="M107" s="1">
        <v>-55.2</v>
      </c>
      <c r="N107" s="1">
        <v>1</v>
      </c>
      <c r="O107" s="1">
        <v>2.4201000000000001</v>
      </c>
      <c r="P107" s="1">
        <v>0.89700000000000002</v>
      </c>
      <c r="Q107" s="1">
        <v>0.63300000000000001</v>
      </c>
      <c r="R107" s="1">
        <v>-0.7319</v>
      </c>
      <c r="S107" s="1">
        <v>2.1600000000000001E-2</v>
      </c>
      <c r="T107" s="1">
        <v>1.9543999999999999</v>
      </c>
      <c r="U107" s="1">
        <v>2.8071999999999999</v>
      </c>
      <c r="V107" s="1">
        <v>1.9112</v>
      </c>
      <c r="W107" s="1">
        <v>100.2</v>
      </c>
      <c r="X107" s="1">
        <v>1</v>
      </c>
      <c r="Y107" s="1">
        <v>1.494</v>
      </c>
      <c r="AA107" s="1">
        <v>0.496</v>
      </c>
      <c r="AB107" s="1">
        <v>-0.71350000000000002</v>
      </c>
      <c r="AC107" s="1">
        <v>0.23</v>
      </c>
      <c r="AD107" s="1">
        <v>4.0707000000000004</v>
      </c>
      <c r="AE107" s="1">
        <v>5.1169000000000002</v>
      </c>
      <c r="AF107" s="1">
        <v>2.2648999999999999</v>
      </c>
    </row>
    <row r="108" spans="1:32" s="1" customFormat="1" ht="11.25" x14ac:dyDescent="0.2">
      <c r="A108" s="1">
        <v>93</v>
      </c>
      <c r="B108" s="1">
        <v>15</v>
      </c>
      <c r="C108" s="1">
        <v>25</v>
      </c>
      <c r="D108" s="1">
        <v>1</v>
      </c>
      <c r="E108" s="1">
        <v>2.2061999999999999</v>
      </c>
      <c r="F108" s="1">
        <v>0.78739999999999999</v>
      </c>
      <c r="G108" s="1">
        <v>0.33289999999999997</v>
      </c>
      <c r="H108" s="1">
        <v>-0.36930000000000002</v>
      </c>
      <c r="I108" s="1">
        <v>1.6999999999999999E-3</v>
      </c>
      <c r="J108" s="1">
        <v>3.4047999999999998</v>
      </c>
      <c r="K108" s="1">
        <v>3.9798</v>
      </c>
      <c r="L108" s="1">
        <v>1.7344999999999999</v>
      </c>
      <c r="M108" s="1">
        <v>-54.9</v>
      </c>
      <c r="N108" s="1">
        <v>1</v>
      </c>
      <c r="O108" s="1">
        <v>2.6423000000000001</v>
      </c>
      <c r="P108" s="1">
        <v>0.89780000000000004</v>
      </c>
      <c r="Q108" s="1">
        <v>0.26750000000000002</v>
      </c>
      <c r="R108" s="1">
        <v>-0.31950000000000001</v>
      </c>
      <c r="S108" s="1">
        <v>2.2499999999999999E-2</v>
      </c>
      <c r="T108" s="1">
        <v>1.9844999999999999</v>
      </c>
      <c r="U108" s="1">
        <v>3.0225</v>
      </c>
      <c r="V108" s="1">
        <v>1.5795999999999999</v>
      </c>
      <c r="W108" s="1">
        <v>100.2</v>
      </c>
      <c r="X108" s="1">
        <v>1</v>
      </c>
      <c r="Y108" s="1">
        <v>1.7142999999999999</v>
      </c>
      <c r="AA108" s="1">
        <v>0.90359999999999996</v>
      </c>
      <c r="AB108" s="1">
        <v>-1.1518999999999999</v>
      </c>
      <c r="AC108" s="1">
        <v>0.1119</v>
      </c>
      <c r="AD108" s="1">
        <v>3.8965999999999998</v>
      </c>
      <c r="AE108" s="1">
        <v>5.0739000000000001</v>
      </c>
      <c r="AF108" s="1">
        <v>1.8723000000000001</v>
      </c>
    </row>
    <row r="109" spans="1:32" s="1" customFormat="1" ht="11.25" x14ac:dyDescent="0.2">
      <c r="A109" s="1">
        <v>94</v>
      </c>
      <c r="B109" s="1">
        <v>1</v>
      </c>
      <c r="C109" s="1">
        <v>25</v>
      </c>
      <c r="D109" s="1">
        <v>1</v>
      </c>
      <c r="E109" s="1">
        <v>1.9367000000000001</v>
      </c>
      <c r="F109" s="1">
        <v>0.77449999999999997</v>
      </c>
      <c r="G109" s="1">
        <v>0.65190000000000003</v>
      </c>
      <c r="H109" s="1">
        <v>-0.77700000000000002</v>
      </c>
      <c r="I109" s="1">
        <v>1.6999999999999999E-3</v>
      </c>
      <c r="J109" s="1">
        <v>3.4287000000000001</v>
      </c>
      <c r="K109" s="1">
        <v>3.7989000000000002</v>
      </c>
      <c r="L109" s="1">
        <v>2.1553</v>
      </c>
      <c r="M109" s="1">
        <v>-55.3</v>
      </c>
      <c r="N109" s="1">
        <v>1</v>
      </c>
      <c r="O109" s="1">
        <v>2.3613</v>
      </c>
      <c r="P109" s="1">
        <v>0.89300000000000002</v>
      </c>
      <c r="Q109" s="1">
        <v>0.55559999999999998</v>
      </c>
      <c r="R109" s="1">
        <v>-0.5998</v>
      </c>
      <c r="S109" s="1">
        <v>1.9900000000000001E-2</v>
      </c>
      <c r="T109" s="1">
        <v>1.925</v>
      </c>
      <c r="U109" s="1">
        <v>2.7223999999999999</v>
      </c>
      <c r="V109" s="1">
        <v>1.9829000000000001</v>
      </c>
      <c r="W109" s="1">
        <v>100.2</v>
      </c>
      <c r="X109" s="1">
        <v>1</v>
      </c>
      <c r="Y109" s="1">
        <v>1.4356</v>
      </c>
      <c r="AA109" s="1">
        <v>0.70809999999999995</v>
      </c>
      <c r="AB109" s="1">
        <v>-0.83930000000000005</v>
      </c>
      <c r="AC109" s="1">
        <v>0.22359999999999999</v>
      </c>
      <c r="AD109" s="1">
        <v>4.0071000000000003</v>
      </c>
      <c r="AE109" s="1">
        <v>4.9825999999999997</v>
      </c>
      <c r="AF109" s="1">
        <v>2.3334999999999999</v>
      </c>
    </row>
    <row r="110" spans="1:32" s="1" customFormat="1" ht="11.25" x14ac:dyDescent="0.2">
      <c r="A110" s="1">
        <v>95</v>
      </c>
      <c r="B110" s="1">
        <v>1</v>
      </c>
      <c r="C110" s="1">
        <v>25</v>
      </c>
      <c r="D110" s="1">
        <v>1</v>
      </c>
      <c r="E110" s="1">
        <v>2.0326</v>
      </c>
      <c r="F110" s="1">
        <v>0.7762</v>
      </c>
      <c r="G110" s="1">
        <v>0.53610000000000002</v>
      </c>
      <c r="H110" s="1">
        <v>-0.75600000000000001</v>
      </c>
      <c r="I110" s="1">
        <v>1.5E-3</v>
      </c>
      <c r="J110" s="1">
        <v>3.4933000000000001</v>
      </c>
      <c r="K110" s="1">
        <v>3.8942000000000001</v>
      </c>
      <c r="L110" s="1">
        <v>2.1848999999999998</v>
      </c>
      <c r="M110" s="1">
        <v>-55.2</v>
      </c>
      <c r="N110" s="1">
        <v>1</v>
      </c>
      <c r="O110" s="1">
        <v>2.4759000000000002</v>
      </c>
      <c r="P110" s="1">
        <v>0.89600000000000002</v>
      </c>
      <c r="Q110" s="1">
        <v>0.48920000000000002</v>
      </c>
      <c r="R110" s="1">
        <v>-0.73680000000000001</v>
      </c>
      <c r="S110" s="1">
        <v>2.1700000000000001E-2</v>
      </c>
      <c r="T110" s="1">
        <v>1.9714</v>
      </c>
      <c r="U110" s="1">
        <v>2.7934000000000001</v>
      </c>
      <c r="V110" s="1">
        <v>2.0091999999999999</v>
      </c>
      <c r="W110" s="1">
        <v>100.4</v>
      </c>
      <c r="X110" s="1">
        <v>1</v>
      </c>
      <c r="Y110" s="1">
        <v>1.5075000000000001</v>
      </c>
      <c r="AA110" s="1">
        <v>0.62070000000000003</v>
      </c>
      <c r="AB110" s="1">
        <v>-0.95630000000000004</v>
      </c>
      <c r="AC110" s="1">
        <v>0.2238</v>
      </c>
      <c r="AD110" s="1">
        <v>4.0735999999999999</v>
      </c>
      <c r="AE110" s="1">
        <v>5.1055000000000001</v>
      </c>
      <c r="AF110" s="1">
        <v>2.3687999999999998</v>
      </c>
    </row>
    <row r="111" spans="1:32" s="1" customFormat="1" ht="11.25" x14ac:dyDescent="0.2">
      <c r="A111" s="1">
        <v>96</v>
      </c>
      <c r="B111" s="1">
        <v>1</v>
      </c>
      <c r="C111" s="1">
        <v>24.9</v>
      </c>
      <c r="D111" s="1">
        <v>1</v>
      </c>
      <c r="E111" s="1">
        <v>1.9853000000000001</v>
      </c>
      <c r="F111" s="1">
        <v>0.77980000000000005</v>
      </c>
      <c r="G111" s="1">
        <v>0.50319999999999998</v>
      </c>
      <c r="H111" s="1">
        <v>-0.56279999999999997</v>
      </c>
      <c r="I111" s="1">
        <v>1.6999999999999999E-3</v>
      </c>
      <c r="J111" s="1">
        <v>3.3607</v>
      </c>
      <c r="K111" s="1">
        <v>3.7919</v>
      </c>
      <c r="L111" s="1">
        <v>1.8707</v>
      </c>
      <c r="M111" s="1">
        <v>-55.1</v>
      </c>
      <c r="N111" s="1">
        <v>1</v>
      </c>
      <c r="O111" s="1">
        <v>2.3942000000000001</v>
      </c>
      <c r="P111" s="1">
        <v>0.89749999999999996</v>
      </c>
      <c r="Q111" s="1">
        <v>0.3715</v>
      </c>
      <c r="R111" s="1">
        <v>-0.52129999999999999</v>
      </c>
      <c r="S111" s="1">
        <v>2.0899999999999998E-2</v>
      </c>
      <c r="T111" s="1">
        <v>1.8988</v>
      </c>
      <c r="U111" s="1">
        <v>2.7536999999999998</v>
      </c>
      <c r="V111" s="1">
        <v>1.7078</v>
      </c>
      <c r="W111" s="1">
        <v>100.3</v>
      </c>
      <c r="X111" s="1">
        <v>1</v>
      </c>
      <c r="Y111" s="1">
        <v>1.4895</v>
      </c>
      <c r="AA111" s="1">
        <v>0.74519999999999997</v>
      </c>
      <c r="AB111" s="1">
        <v>-0.9395</v>
      </c>
      <c r="AC111" s="1">
        <v>0.21379999999999999</v>
      </c>
      <c r="AD111" s="1">
        <v>3.9464999999999999</v>
      </c>
      <c r="AE111" s="1">
        <v>4.9847000000000001</v>
      </c>
      <c r="AF111" s="1">
        <v>2.0404</v>
      </c>
    </row>
    <row r="112" spans="1:32" s="1" customFormat="1" ht="11.25" x14ac:dyDescent="0.2">
      <c r="A112" s="1">
        <v>97</v>
      </c>
      <c r="B112" s="1">
        <v>1</v>
      </c>
      <c r="C112" s="1">
        <v>24.9</v>
      </c>
      <c r="D112" s="1">
        <v>1</v>
      </c>
      <c r="E112" s="1">
        <v>1.9609000000000001</v>
      </c>
      <c r="F112" s="1">
        <v>0.77639999999999998</v>
      </c>
      <c r="G112" s="1">
        <v>0.49330000000000002</v>
      </c>
      <c r="H112" s="1">
        <v>-0.53159999999999996</v>
      </c>
      <c r="I112" s="1">
        <v>1.9E-3</v>
      </c>
      <c r="J112" s="1">
        <v>3.4148999999999998</v>
      </c>
      <c r="K112" s="1">
        <v>3.7919</v>
      </c>
      <c r="L112" s="1">
        <v>2.0590999999999999</v>
      </c>
      <c r="M112" s="1">
        <v>-55.2</v>
      </c>
      <c r="N112" s="1">
        <v>1</v>
      </c>
      <c r="O112" s="1">
        <v>2.3891</v>
      </c>
      <c r="P112" s="1">
        <v>0.89559999999999995</v>
      </c>
      <c r="Q112" s="1">
        <v>0.5736</v>
      </c>
      <c r="R112" s="1">
        <v>-0.72130000000000005</v>
      </c>
      <c r="S112" s="1">
        <v>2.06E-2</v>
      </c>
      <c r="T112" s="1">
        <v>1.9522999999999999</v>
      </c>
      <c r="U112" s="1">
        <v>2.7254999999999998</v>
      </c>
      <c r="V112" s="1">
        <v>1.8906000000000001</v>
      </c>
      <c r="W112" s="1">
        <v>100.2</v>
      </c>
      <c r="X112" s="1">
        <v>1</v>
      </c>
      <c r="Y112" s="1">
        <v>1.4480999999999999</v>
      </c>
      <c r="AA112" s="1">
        <v>0.53810000000000002</v>
      </c>
      <c r="AB112" s="1">
        <v>-0.81759999999999999</v>
      </c>
      <c r="AC112" s="1">
        <v>0.23269999999999999</v>
      </c>
      <c r="AD112" s="1">
        <v>4.0293000000000001</v>
      </c>
      <c r="AE112" s="1">
        <v>4.9984000000000002</v>
      </c>
      <c r="AF112" s="1">
        <v>2.2382</v>
      </c>
    </row>
    <row r="113" spans="1:32" s="1" customFormat="1" ht="11.25" x14ac:dyDescent="0.2">
      <c r="A113" s="1">
        <v>99</v>
      </c>
      <c r="B113" s="1">
        <v>1</v>
      </c>
      <c r="C113" s="1">
        <v>25</v>
      </c>
      <c r="D113" s="1">
        <v>1</v>
      </c>
      <c r="E113" s="1">
        <v>2.0251000000000001</v>
      </c>
      <c r="F113" s="1">
        <v>0.77949999999999997</v>
      </c>
      <c r="G113" s="1">
        <v>0.63109999999999999</v>
      </c>
      <c r="H113" s="1">
        <v>-0.68610000000000004</v>
      </c>
      <c r="I113" s="1">
        <v>1.6000000000000001E-3</v>
      </c>
      <c r="J113" s="1">
        <v>3.4961000000000002</v>
      </c>
      <c r="K113" s="1">
        <v>3.9003000000000001</v>
      </c>
      <c r="L113" s="1">
        <v>2.0806</v>
      </c>
      <c r="M113" s="1">
        <v>-55.3</v>
      </c>
      <c r="N113" s="1">
        <v>1</v>
      </c>
      <c r="O113" s="1">
        <v>2.4485000000000001</v>
      </c>
      <c r="P113" s="1">
        <v>0.89670000000000005</v>
      </c>
      <c r="Q113" s="1">
        <v>0.58779999999999999</v>
      </c>
      <c r="R113" s="1">
        <v>-0.59340000000000004</v>
      </c>
      <c r="S113" s="1">
        <v>2.12E-2</v>
      </c>
      <c r="T113" s="1">
        <v>1.9827999999999999</v>
      </c>
      <c r="U113" s="1">
        <v>2.8294999999999999</v>
      </c>
      <c r="V113" s="1">
        <v>1.9118999999999999</v>
      </c>
      <c r="W113" s="1">
        <v>100.2</v>
      </c>
      <c r="X113" s="1">
        <v>1</v>
      </c>
      <c r="Y113" s="1">
        <v>1.5165</v>
      </c>
      <c r="AA113" s="1">
        <v>0.56569999999999998</v>
      </c>
      <c r="AB113" s="1">
        <v>-0.71499999999999997</v>
      </c>
      <c r="AC113" s="1">
        <v>0.2016</v>
      </c>
      <c r="AD113" s="1">
        <v>3.9969999999999999</v>
      </c>
      <c r="AE113" s="1">
        <v>5.1669999999999998</v>
      </c>
      <c r="AF113" s="1">
        <v>2.2565</v>
      </c>
    </row>
    <row r="114" spans="1:32" s="1" customFormat="1" ht="11.25" x14ac:dyDescent="0.2">
      <c r="A114" s="1">
        <v>100</v>
      </c>
      <c r="B114" s="1">
        <v>1</v>
      </c>
      <c r="C114" s="1">
        <v>25</v>
      </c>
      <c r="D114" s="1">
        <v>1</v>
      </c>
      <c r="E114" s="1">
        <v>2.0320999999999998</v>
      </c>
      <c r="F114" s="1">
        <v>0.78590000000000004</v>
      </c>
      <c r="G114" s="1">
        <v>0.40970000000000001</v>
      </c>
      <c r="H114" s="1">
        <v>-0.59809999999999997</v>
      </c>
      <c r="I114" s="1">
        <v>1.4E-3</v>
      </c>
      <c r="J114" s="1">
        <v>3.3978000000000002</v>
      </c>
      <c r="K114" s="1">
        <v>4.4745999999999997</v>
      </c>
      <c r="L114" s="1">
        <v>1.8133999999999999</v>
      </c>
      <c r="M114" s="1">
        <v>-55.3</v>
      </c>
      <c r="N114" s="1">
        <v>1</v>
      </c>
      <c r="O114" s="1">
        <v>2.4434999999999998</v>
      </c>
      <c r="P114" s="1">
        <v>0.90159999999999996</v>
      </c>
      <c r="Q114" s="1">
        <v>0.63380000000000003</v>
      </c>
      <c r="R114" s="1">
        <v>-0.61829999999999996</v>
      </c>
      <c r="S114" s="1">
        <v>1.9400000000000001E-2</v>
      </c>
      <c r="T114" s="1">
        <v>1.9494</v>
      </c>
      <c r="U114" s="1">
        <v>3.3210999999999999</v>
      </c>
      <c r="V114" s="1">
        <v>1.6521999999999999</v>
      </c>
      <c r="W114" s="1">
        <v>100.1</v>
      </c>
      <c r="X114" s="1">
        <v>1</v>
      </c>
      <c r="Y114" s="1">
        <v>1.5452999999999999</v>
      </c>
      <c r="AA114" s="1">
        <v>0.48509999999999998</v>
      </c>
      <c r="AB114" s="1">
        <v>-0.75029999999999997</v>
      </c>
      <c r="AC114" s="1">
        <v>0.19719999999999999</v>
      </c>
      <c r="AD114" s="1">
        <v>3.9769999999999999</v>
      </c>
      <c r="AE114" s="1">
        <v>5.6512000000000002</v>
      </c>
      <c r="AF114" s="1">
        <v>1.9803999999999999</v>
      </c>
    </row>
    <row r="115" spans="1:32" s="1" customFormat="1" ht="11.25" x14ac:dyDescent="0.2">
      <c r="A115" s="1">
        <v>101</v>
      </c>
      <c r="B115" s="1">
        <v>1</v>
      </c>
      <c r="C115" s="1">
        <v>24.9</v>
      </c>
      <c r="D115" s="1">
        <v>1</v>
      </c>
      <c r="E115" s="1">
        <v>2.0186999999999999</v>
      </c>
      <c r="F115" s="1">
        <v>0.77490000000000003</v>
      </c>
      <c r="G115" s="1">
        <v>0.66100000000000003</v>
      </c>
      <c r="H115" s="1">
        <v>-0.7238</v>
      </c>
      <c r="I115" s="1">
        <v>1.9E-3</v>
      </c>
      <c r="J115" s="1">
        <v>3.4335</v>
      </c>
      <c r="K115" s="1">
        <v>3.9043999999999999</v>
      </c>
      <c r="L115" s="1">
        <v>2.2839</v>
      </c>
      <c r="M115" s="1">
        <v>-55.2</v>
      </c>
      <c r="N115" s="1">
        <v>1</v>
      </c>
      <c r="O115" s="1">
        <v>2.4496000000000002</v>
      </c>
      <c r="P115" s="1">
        <v>0.89419999999999999</v>
      </c>
      <c r="Q115" s="1">
        <v>0.62490000000000001</v>
      </c>
      <c r="R115" s="1">
        <v>-0.72360000000000002</v>
      </c>
      <c r="S115" s="1">
        <v>2.1700000000000001E-2</v>
      </c>
      <c r="T115" s="1">
        <v>1.9467000000000001</v>
      </c>
      <c r="U115" s="1">
        <v>2.7946</v>
      </c>
      <c r="V115" s="1">
        <v>2.1074999999999999</v>
      </c>
      <c r="W115" s="1">
        <v>100.3</v>
      </c>
      <c r="X115" s="1">
        <v>1</v>
      </c>
      <c r="Y115" s="1">
        <v>1.4965999999999999</v>
      </c>
      <c r="AA115" s="1">
        <v>0.54200000000000004</v>
      </c>
      <c r="AB115" s="1">
        <v>-0.72370000000000001</v>
      </c>
      <c r="AC115" s="1">
        <v>0.22600000000000001</v>
      </c>
      <c r="AD115" s="1">
        <v>4.1048999999999998</v>
      </c>
      <c r="AE115" s="1">
        <v>5.1348000000000003</v>
      </c>
      <c r="AF115" s="1">
        <v>2.4727000000000001</v>
      </c>
    </row>
    <row r="116" spans="1:32" s="1" customFormat="1" ht="11.25" x14ac:dyDescent="0.2">
      <c r="A116" s="1">
        <v>102</v>
      </c>
      <c r="B116" s="1">
        <v>1</v>
      </c>
      <c r="C116" s="1">
        <v>25</v>
      </c>
      <c r="D116" s="1">
        <v>1</v>
      </c>
      <c r="E116" s="1">
        <v>2.0022000000000002</v>
      </c>
      <c r="F116" s="1">
        <v>0.77580000000000005</v>
      </c>
      <c r="G116" s="1">
        <v>0.41599999999999998</v>
      </c>
      <c r="H116" s="1">
        <v>-0.53420000000000001</v>
      </c>
      <c r="I116" s="1">
        <v>1.6000000000000001E-3</v>
      </c>
      <c r="J116" s="1">
        <v>3.4214000000000002</v>
      </c>
      <c r="K116" s="1">
        <v>3.8119999999999998</v>
      </c>
      <c r="L116" s="1">
        <v>2.0821999999999998</v>
      </c>
      <c r="M116" s="1">
        <v>-55.2</v>
      </c>
      <c r="N116" s="1">
        <v>1</v>
      </c>
      <c r="O116" s="1">
        <v>2.4306999999999999</v>
      </c>
      <c r="P116" s="1">
        <v>0.89500000000000002</v>
      </c>
      <c r="Q116" s="1">
        <v>0.3906</v>
      </c>
      <c r="R116" s="1">
        <v>-0.57640000000000002</v>
      </c>
      <c r="S116" s="1">
        <v>0.02</v>
      </c>
      <c r="T116" s="1">
        <v>1.9778</v>
      </c>
      <c r="U116" s="1">
        <v>2.7492999999999999</v>
      </c>
      <c r="V116" s="1">
        <v>1.9100999999999999</v>
      </c>
      <c r="W116" s="1">
        <v>100.1</v>
      </c>
      <c r="X116" s="1">
        <v>1</v>
      </c>
      <c r="Y116" s="1">
        <v>1.4857</v>
      </c>
      <c r="AA116" s="1">
        <v>0.56130000000000002</v>
      </c>
      <c r="AB116" s="1">
        <v>-0.87360000000000004</v>
      </c>
      <c r="AC116" s="1">
        <v>0.2389</v>
      </c>
      <c r="AD116" s="1">
        <v>4.0335999999999999</v>
      </c>
      <c r="AE116" s="1">
        <v>5.0430999999999999</v>
      </c>
      <c r="AF116" s="1">
        <v>2.2608999999999999</v>
      </c>
    </row>
    <row r="117" spans="1:32" s="1" customFormat="1" ht="11.25" x14ac:dyDescent="0.2">
      <c r="A117" s="1">
        <v>103</v>
      </c>
      <c r="B117" s="1">
        <v>1</v>
      </c>
      <c r="C117" s="1">
        <v>24.9</v>
      </c>
      <c r="D117" s="1">
        <v>1</v>
      </c>
      <c r="E117" s="1">
        <v>1.9542999999999999</v>
      </c>
      <c r="F117" s="1">
        <v>0.77710000000000001</v>
      </c>
      <c r="G117" s="1">
        <v>0.42049999999999998</v>
      </c>
      <c r="H117" s="1">
        <v>-0.68059999999999998</v>
      </c>
      <c r="I117" s="1">
        <v>1.6999999999999999E-3</v>
      </c>
      <c r="J117" s="1">
        <v>3.4419</v>
      </c>
      <c r="K117" s="1">
        <v>3.8252000000000002</v>
      </c>
      <c r="L117" s="1">
        <v>2.1583000000000001</v>
      </c>
      <c r="M117" s="1">
        <v>-55.3</v>
      </c>
      <c r="N117" s="1">
        <v>1</v>
      </c>
      <c r="O117" s="1">
        <v>2.3662999999999998</v>
      </c>
      <c r="P117" s="1">
        <v>0.89580000000000004</v>
      </c>
      <c r="Q117" s="1">
        <v>0.37990000000000002</v>
      </c>
      <c r="R117" s="1">
        <v>-0.45529999999999998</v>
      </c>
      <c r="S117" s="1">
        <v>1.8599999999999998E-2</v>
      </c>
      <c r="T117" s="1">
        <v>1.9274</v>
      </c>
      <c r="U117" s="1">
        <v>2.7875000000000001</v>
      </c>
      <c r="V117" s="1">
        <v>1.9879</v>
      </c>
      <c r="W117" s="1">
        <v>100.2</v>
      </c>
      <c r="X117" s="1">
        <v>1</v>
      </c>
      <c r="Y117" s="1">
        <v>1.4507000000000001</v>
      </c>
      <c r="AA117" s="1">
        <v>0.73340000000000005</v>
      </c>
      <c r="AB117" s="1">
        <v>-0.97440000000000004</v>
      </c>
      <c r="AC117" s="1">
        <v>0.22450000000000001</v>
      </c>
      <c r="AD117" s="1">
        <v>4.1013000000000002</v>
      </c>
      <c r="AE117" s="1">
        <v>5.1148999999999996</v>
      </c>
      <c r="AF117" s="1">
        <v>2.3395000000000001</v>
      </c>
    </row>
    <row r="118" spans="1:32" s="1" customFormat="1" ht="11.25" x14ac:dyDescent="0.2">
      <c r="A118" s="1">
        <v>104</v>
      </c>
      <c r="B118" s="1">
        <v>15</v>
      </c>
      <c r="C118" s="1">
        <v>25</v>
      </c>
      <c r="D118" s="1">
        <v>1</v>
      </c>
      <c r="E118" s="1">
        <v>2.0847000000000002</v>
      </c>
      <c r="F118" s="1">
        <v>0.78110000000000002</v>
      </c>
      <c r="G118" s="1">
        <v>0.34420000000000001</v>
      </c>
      <c r="H118" s="1">
        <v>-0.36680000000000001</v>
      </c>
      <c r="I118" s="1">
        <v>1.2999999999999999E-3</v>
      </c>
      <c r="J118" s="1">
        <v>3.4485999999999999</v>
      </c>
      <c r="K118" s="1">
        <v>3.8386999999999998</v>
      </c>
      <c r="L118" s="1">
        <v>1.9365000000000001</v>
      </c>
      <c r="M118" s="1">
        <v>-54.9</v>
      </c>
      <c r="N118" s="1">
        <v>1</v>
      </c>
      <c r="O118" s="1">
        <v>2.5242</v>
      </c>
      <c r="P118" s="1">
        <v>0.89549999999999996</v>
      </c>
      <c r="Q118" s="1">
        <v>0.2959</v>
      </c>
      <c r="R118" s="1">
        <v>-0.33489999999999998</v>
      </c>
      <c r="S118" s="1">
        <v>2.2499999999999999E-2</v>
      </c>
      <c r="T118" s="1">
        <v>2.0184000000000002</v>
      </c>
      <c r="U118" s="1">
        <v>2.8241999999999998</v>
      </c>
      <c r="V118" s="1">
        <v>1.7739</v>
      </c>
      <c r="W118" s="1">
        <v>100.5</v>
      </c>
      <c r="X118" s="1">
        <v>1</v>
      </c>
      <c r="Y118" s="1">
        <v>1.5955999999999999</v>
      </c>
      <c r="AA118" s="1">
        <v>0.83630000000000004</v>
      </c>
      <c r="AB118" s="1">
        <v>-1.0517000000000001</v>
      </c>
      <c r="AC118" s="1">
        <v>0.13089999999999999</v>
      </c>
      <c r="AD118" s="1">
        <v>3.9628999999999999</v>
      </c>
      <c r="AE118" s="1">
        <v>4.9702000000000002</v>
      </c>
      <c r="AF118" s="1">
        <v>2.0964</v>
      </c>
    </row>
    <row r="119" spans="1:32" s="1" customFormat="1" ht="11.25" x14ac:dyDescent="0.2">
      <c r="A119" s="1">
        <v>105</v>
      </c>
      <c r="B119" s="1">
        <v>1</v>
      </c>
      <c r="C119" s="1">
        <v>25</v>
      </c>
      <c r="D119" s="1">
        <v>1</v>
      </c>
      <c r="E119" s="1">
        <v>2.0043000000000002</v>
      </c>
      <c r="F119" s="1">
        <v>0.77649999999999997</v>
      </c>
      <c r="G119" s="1">
        <v>0.56930000000000003</v>
      </c>
      <c r="H119" s="1">
        <v>-0.75</v>
      </c>
      <c r="I119" s="1">
        <v>1.6000000000000001E-3</v>
      </c>
      <c r="J119" s="1">
        <v>3.4234</v>
      </c>
      <c r="K119" s="1">
        <v>3.8277000000000001</v>
      </c>
      <c r="L119" s="1">
        <v>2.1448</v>
      </c>
      <c r="M119" s="1">
        <v>-55.3</v>
      </c>
      <c r="N119" s="1">
        <v>1</v>
      </c>
      <c r="O119" s="1">
        <v>2.4508999999999999</v>
      </c>
      <c r="P119" s="1">
        <v>0.89590000000000003</v>
      </c>
      <c r="Q119" s="1">
        <v>0.62260000000000004</v>
      </c>
      <c r="R119" s="1">
        <v>-0.60529999999999995</v>
      </c>
      <c r="S119" s="1">
        <v>1.9900000000000001E-2</v>
      </c>
      <c r="T119" s="1">
        <v>1.9511000000000001</v>
      </c>
      <c r="U119" s="1">
        <v>2.7467000000000001</v>
      </c>
      <c r="V119" s="1">
        <v>1.9714</v>
      </c>
      <c r="W119" s="1">
        <v>100.1</v>
      </c>
      <c r="X119" s="1">
        <v>1</v>
      </c>
      <c r="Y119" s="1">
        <v>1.4763999999999999</v>
      </c>
      <c r="AA119" s="1">
        <v>0.57099999999999995</v>
      </c>
      <c r="AB119" s="1">
        <v>-0.8921</v>
      </c>
      <c r="AC119" s="1">
        <v>0.23499999999999999</v>
      </c>
      <c r="AD119" s="1">
        <v>4.0881999999999996</v>
      </c>
      <c r="AE119" s="1">
        <v>5.0731999999999999</v>
      </c>
      <c r="AF119" s="1">
        <v>2.3252000000000002</v>
      </c>
    </row>
    <row r="120" spans="1:32" s="1" customFormat="1" ht="11.25" x14ac:dyDescent="0.2">
      <c r="A120" s="1">
        <v>106</v>
      </c>
      <c r="B120" s="1">
        <v>1</v>
      </c>
      <c r="C120" s="1">
        <v>25</v>
      </c>
      <c r="D120" s="1">
        <v>1</v>
      </c>
      <c r="E120" s="1">
        <v>1.9935</v>
      </c>
      <c r="F120" s="1">
        <v>0.77639999999999998</v>
      </c>
      <c r="G120" s="1">
        <v>0.44929999999999998</v>
      </c>
      <c r="H120" s="1">
        <v>-0.75670000000000004</v>
      </c>
      <c r="I120" s="1">
        <v>1.6000000000000001E-3</v>
      </c>
      <c r="J120" s="1">
        <v>3.4622999999999999</v>
      </c>
      <c r="K120" s="1">
        <v>3.8277000000000001</v>
      </c>
      <c r="L120" s="1">
        <v>2.1474000000000002</v>
      </c>
      <c r="M120" s="1">
        <v>-55.4</v>
      </c>
      <c r="N120" s="1">
        <v>1</v>
      </c>
      <c r="O120" s="1">
        <v>2.4218000000000002</v>
      </c>
      <c r="P120" s="1">
        <v>0.89590000000000003</v>
      </c>
      <c r="Q120" s="1">
        <v>0.45779999999999998</v>
      </c>
      <c r="R120" s="1">
        <v>-0.74309999999999998</v>
      </c>
      <c r="S120" s="1">
        <v>2.3099999999999999E-2</v>
      </c>
      <c r="T120" s="1">
        <v>1.978</v>
      </c>
      <c r="U120" s="1">
        <v>2.7465000000000002</v>
      </c>
      <c r="V120" s="1">
        <v>1.9738</v>
      </c>
      <c r="W120" s="1">
        <v>100.1</v>
      </c>
      <c r="X120" s="1">
        <v>1</v>
      </c>
      <c r="Y120" s="1">
        <v>1.4782999999999999</v>
      </c>
      <c r="AA120" s="1">
        <v>0.50160000000000005</v>
      </c>
      <c r="AB120" s="1">
        <v>-0.82020000000000004</v>
      </c>
      <c r="AC120" s="1">
        <v>0.2281</v>
      </c>
      <c r="AD120" s="1">
        <v>4.0038</v>
      </c>
      <c r="AE120" s="1">
        <v>5.0423</v>
      </c>
      <c r="AF120" s="1">
        <v>2.3296000000000001</v>
      </c>
    </row>
    <row r="121" spans="1:32" s="1" customFormat="1" ht="11.25" x14ac:dyDescent="0.2">
      <c r="A121" s="1">
        <v>107</v>
      </c>
      <c r="B121" s="1">
        <v>15</v>
      </c>
      <c r="C121" s="1">
        <v>25.1</v>
      </c>
      <c r="D121" s="1">
        <v>1</v>
      </c>
      <c r="E121" s="1">
        <v>2.0962999999999998</v>
      </c>
      <c r="F121" s="1">
        <v>0.78269999999999995</v>
      </c>
      <c r="G121" s="1">
        <v>0.33379999999999999</v>
      </c>
      <c r="H121" s="1">
        <v>-0.33860000000000001</v>
      </c>
      <c r="I121" s="1">
        <v>1.5E-3</v>
      </c>
      <c r="J121" s="1">
        <v>3.4592000000000001</v>
      </c>
      <c r="K121" s="1">
        <v>3.8708999999999998</v>
      </c>
      <c r="L121" s="1">
        <v>1.972</v>
      </c>
      <c r="M121" s="1">
        <v>-54.9</v>
      </c>
      <c r="N121" s="1">
        <v>1</v>
      </c>
      <c r="O121" s="1">
        <v>2.5392000000000001</v>
      </c>
      <c r="P121" s="1">
        <v>0.89580000000000004</v>
      </c>
      <c r="Q121" s="1">
        <v>0.29039999999999999</v>
      </c>
      <c r="R121" s="1">
        <v>-0.30049999999999999</v>
      </c>
      <c r="S121" s="1">
        <v>2.1700000000000001E-2</v>
      </c>
      <c r="T121" s="1">
        <v>1.9835</v>
      </c>
      <c r="U121" s="1">
        <v>2.8193999999999999</v>
      </c>
      <c r="V121" s="1">
        <v>1.8111999999999999</v>
      </c>
      <c r="W121" s="1">
        <v>100.2</v>
      </c>
      <c r="X121" s="1">
        <v>1</v>
      </c>
      <c r="Y121" s="1">
        <v>1.6013999999999999</v>
      </c>
      <c r="AA121" s="1">
        <v>0.75729999999999997</v>
      </c>
      <c r="AB121" s="1">
        <v>-1.0117</v>
      </c>
      <c r="AC121" s="1">
        <v>0.12540000000000001</v>
      </c>
      <c r="AD121" s="1">
        <v>4.0110000000000001</v>
      </c>
      <c r="AE121" s="1">
        <v>5.0034000000000001</v>
      </c>
      <c r="AF121" s="1">
        <v>2.1349</v>
      </c>
    </row>
    <row r="122" spans="1:32" s="1" customFormat="1" ht="11.25" x14ac:dyDescent="0.2">
      <c r="A122" s="1">
        <v>108</v>
      </c>
      <c r="B122" s="1">
        <v>1</v>
      </c>
      <c r="C122" s="1">
        <v>24.9</v>
      </c>
      <c r="D122" s="1">
        <v>1</v>
      </c>
      <c r="E122" s="1">
        <v>2.0326</v>
      </c>
      <c r="F122" s="1">
        <v>0.77569999999999995</v>
      </c>
      <c r="G122" s="1">
        <v>0.4415</v>
      </c>
      <c r="H122" s="1">
        <v>-0.5343</v>
      </c>
      <c r="I122" s="1">
        <v>1.9E-3</v>
      </c>
      <c r="J122" s="1">
        <v>3.4666999999999999</v>
      </c>
      <c r="K122" s="1">
        <v>3.9001999999999999</v>
      </c>
      <c r="L122" s="1">
        <v>2.2625000000000002</v>
      </c>
      <c r="M122" s="1">
        <v>-55.2</v>
      </c>
      <c r="N122" s="1">
        <v>1</v>
      </c>
      <c r="O122" s="1">
        <v>2.4769999999999999</v>
      </c>
      <c r="P122" s="1">
        <v>0.89529999999999998</v>
      </c>
      <c r="Q122" s="1">
        <v>0.62290000000000001</v>
      </c>
      <c r="R122" s="1">
        <v>-0.64090000000000003</v>
      </c>
      <c r="S122" s="1">
        <v>2.1999999999999999E-2</v>
      </c>
      <c r="T122" s="1">
        <v>1.9572000000000001</v>
      </c>
      <c r="U122" s="1">
        <v>2.8043999999999998</v>
      </c>
      <c r="V122" s="1">
        <v>2.0863</v>
      </c>
      <c r="W122" s="1">
        <v>100.1</v>
      </c>
      <c r="X122" s="1">
        <v>1</v>
      </c>
      <c r="Y122" s="1">
        <v>1.5033000000000001</v>
      </c>
      <c r="AA122" s="1">
        <v>0.56640000000000001</v>
      </c>
      <c r="AB122" s="1">
        <v>-0.8972</v>
      </c>
      <c r="AC122" s="1">
        <v>0.22770000000000001</v>
      </c>
      <c r="AD122" s="1">
        <v>4.0944000000000003</v>
      </c>
      <c r="AE122" s="1">
        <v>5.1355000000000004</v>
      </c>
      <c r="AF122" s="1">
        <v>2.4481000000000002</v>
      </c>
    </row>
    <row r="123" spans="1:32" s="1" customFormat="1" ht="11.25" x14ac:dyDescent="0.2">
      <c r="A123" s="1">
        <v>109</v>
      </c>
      <c r="B123" s="1">
        <v>1</v>
      </c>
      <c r="C123" s="1">
        <v>25</v>
      </c>
      <c r="D123" s="1">
        <v>1</v>
      </c>
      <c r="E123" s="1">
        <v>2.0101</v>
      </c>
      <c r="F123" s="1">
        <v>0.78080000000000005</v>
      </c>
      <c r="G123" s="1">
        <v>0.65790000000000004</v>
      </c>
      <c r="H123" s="1">
        <v>-0.67179999999999995</v>
      </c>
      <c r="I123" s="1">
        <v>1.6000000000000001E-3</v>
      </c>
      <c r="J123" s="1">
        <v>3.4129999999999998</v>
      </c>
      <c r="K123" s="1">
        <v>4.0956000000000001</v>
      </c>
      <c r="L123" s="1">
        <v>1.9036</v>
      </c>
      <c r="M123" s="1">
        <v>-55.2</v>
      </c>
      <c r="N123" s="1">
        <v>1</v>
      </c>
      <c r="O123" s="1">
        <v>2.4125999999999999</v>
      </c>
      <c r="P123" s="1">
        <v>0.89859999999999995</v>
      </c>
      <c r="Q123" s="1">
        <v>0.3619</v>
      </c>
      <c r="R123" s="1">
        <v>-0.4803</v>
      </c>
      <c r="S123" s="1">
        <v>2.07E-2</v>
      </c>
      <c r="T123" s="1">
        <v>1.9392</v>
      </c>
      <c r="U123" s="1">
        <v>3.0411999999999999</v>
      </c>
      <c r="V123" s="1">
        <v>1.7384999999999999</v>
      </c>
      <c r="W123" s="1">
        <v>100.4</v>
      </c>
      <c r="X123" s="1">
        <v>1</v>
      </c>
      <c r="Y123" s="1">
        <v>1.5289999999999999</v>
      </c>
      <c r="AA123" s="1">
        <v>0.69920000000000004</v>
      </c>
      <c r="AB123" s="1">
        <v>-0.82809999999999995</v>
      </c>
      <c r="AC123" s="1">
        <v>0.214</v>
      </c>
      <c r="AD123" s="1">
        <v>4.0479000000000003</v>
      </c>
      <c r="AE123" s="1">
        <v>5.2702</v>
      </c>
      <c r="AF123" s="1">
        <v>2.0752000000000002</v>
      </c>
    </row>
    <row r="124" spans="1:32" s="1" customFormat="1" ht="11.25" x14ac:dyDescent="0.2">
      <c r="A124" s="1">
        <v>110</v>
      </c>
      <c r="B124" s="1">
        <v>15</v>
      </c>
      <c r="C124" s="1">
        <v>25</v>
      </c>
      <c r="D124" s="1">
        <v>1</v>
      </c>
      <c r="E124" s="1">
        <v>2.0880999999999998</v>
      </c>
      <c r="F124" s="1">
        <v>0.78390000000000004</v>
      </c>
      <c r="G124" s="1">
        <v>0.34189999999999998</v>
      </c>
      <c r="H124" s="1">
        <v>-0.37359999999999999</v>
      </c>
      <c r="I124" s="1">
        <v>1.8E-3</v>
      </c>
      <c r="J124" s="1">
        <v>3.4453999999999998</v>
      </c>
      <c r="K124" s="1">
        <v>3.9119999999999999</v>
      </c>
      <c r="L124" s="1">
        <v>1.9964999999999999</v>
      </c>
      <c r="M124" s="1">
        <v>-55</v>
      </c>
      <c r="N124" s="1">
        <v>1</v>
      </c>
      <c r="O124" s="1">
        <v>2.5179</v>
      </c>
      <c r="P124" s="1">
        <v>0.8982</v>
      </c>
      <c r="Q124" s="1">
        <v>0.28399999999999997</v>
      </c>
      <c r="R124" s="1">
        <v>-0.34300000000000003</v>
      </c>
      <c r="S124" s="1">
        <v>2.2800000000000001E-2</v>
      </c>
      <c r="T124" s="1">
        <v>1.98</v>
      </c>
      <c r="U124" s="1">
        <v>2.8734000000000002</v>
      </c>
      <c r="V124" s="1">
        <v>1.8303</v>
      </c>
      <c r="W124" s="1">
        <v>100.3</v>
      </c>
      <c r="X124" s="1">
        <v>1</v>
      </c>
      <c r="Y124" s="1">
        <v>1.5894999999999999</v>
      </c>
      <c r="AA124" s="1">
        <v>0.84640000000000004</v>
      </c>
      <c r="AB124" s="1">
        <v>-1.1747000000000001</v>
      </c>
      <c r="AC124" s="1">
        <v>0.1371</v>
      </c>
      <c r="AD124" s="1">
        <v>4.0144000000000002</v>
      </c>
      <c r="AE124" s="1">
        <v>5.0796000000000001</v>
      </c>
      <c r="AF124" s="1">
        <v>2.1648000000000001</v>
      </c>
    </row>
    <row r="125" spans="1:32" s="1" customFormat="1" ht="11.25" x14ac:dyDescent="0.2">
      <c r="A125" s="1">
        <v>111</v>
      </c>
      <c r="B125" s="1">
        <v>1</v>
      </c>
      <c r="C125" s="1">
        <v>24.9</v>
      </c>
      <c r="D125" s="1">
        <v>1</v>
      </c>
      <c r="E125" s="1">
        <v>2.0434000000000001</v>
      </c>
      <c r="F125" s="1">
        <v>0.78900000000000003</v>
      </c>
      <c r="G125" s="1">
        <v>0.65529999999999999</v>
      </c>
      <c r="H125" s="1">
        <v>-0.6704</v>
      </c>
      <c r="I125" s="1">
        <v>1.8E-3</v>
      </c>
      <c r="J125" s="1">
        <v>3.4020000000000001</v>
      </c>
      <c r="K125" s="1">
        <v>4.4965999999999999</v>
      </c>
      <c r="L125" s="1">
        <v>1.7079</v>
      </c>
      <c r="M125" s="1">
        <v>-55.2</v>
      </c>
      <c r="N125" s="1">
        <v>1</v>
      </c>
      <c r="O125" s="1">
        <v>2.4626999999999999</v>
      </c>
      <c r="P125" s="1">
        <v>0.90469999999999995</v>
      </c>
      <c r="Q125" s="1">
        <v>0.36720000000000003</v>
      </c>
      <c r="R125" s="1">
        <v>-0.61739999999999995</v>
      </c>
      <c r="S125" s="1">
        <v>2.2800000000000001E-2</v>
      </c>
      <c r="T125" s="1">
        <v>1.9464999999999999</v>
      </c>
      <c r="U125" s="1">
        <v>3.3178999999999998</v>
      </c>
      <c r="V125" s="1">
        <v>1.5495000000000001</v>
      </c>
      <c r="W125" s="1">
        <v>100.3</v>
      </c>
      <c r="X125" s="1">
        <v>1</v>
      </c>
      <c r="Y125" s="1">
        <v>1.5479000000000001</v>
      </c>
      <c r="AA125" s="1">
        <v>0.58050000000000002</v>
      </c>
      <c r="AB125" s="1">
        <v>-0.72919999999999996</v>
      </c>
      <c r="AC125" s="1">
        <v>0.1961</v>
      </c>
      <c r="AD125" s="1">
        <v>3.9630000000000001</v>
      </c>
      <c r="AE125" s="1">
        <v>5.7409999999999997</v>
      </c>
      <c r="AF125" s="1">
        <v>1.8720000000000001</v>
      </c>
    </row>
    <row r="126" spans="1:32" s="1" customFormat="1" ht="11.25" x14ac:dyDescent="0.2">
      <c r="A126" s="1">
        <v>112</v>
      </c>
      <c r="B126" s="1">
        <v>1</v>
      </c>
      <c r="C126" s="1">
        <v>25</v>
      </c>
      <c r="D126" s="1">
        <v>1</v>
      </c>
      <c r="E126" s="1">
        <v>2.0280999999999998</v>
      </c>
      <c r="F126" s="1">
        <v>0.78159999999999996</v>
      </c>
      <c r="G126" s="1">
        <v>0.59850000000000003</v>
      </c>
      <c r="H126" s="1">
        <v>-0.65780000000000005</v>
      </c>
      <c r="I126" s="1">
        <v>1.5E-3</v>
      </c>
      <c r="J126" s="1">
        <v>3.3874</v>
      </c>
      <c r="K126" s="1">
        <v>3.8447</v>
      </c>
      <c r="L126" s="1">
        <v>1.8734</v>
      </c>
      <c r="M126" s="1">
        <v>-54.8</v>
      </c>
      <c r="N126" s="1">
        <v>1</v>
      </c>
      <c r="O126" s="1">
        <v>2.4455</v>
      </c>
      <c r="P126" s="1">
        <v>0.8982</v>
      </c>
      <c r="Q126" s="1">
        <v>0.57550000000000001</v>
      </c>
      <c r="R126" s="1">
        <v>-0.76</v>
      </c>
      <c r="S126" s="1">
        <v>2.01E-2</v>
      </c>
      <c r="T126" s="1">
        <v>1.9862</v>
      </c>
      <c r="U126" s="1">
        <v>2.8365</v>
      </c>
      <c r="V126" s="1">
        <v>1.7112000000000001</v>
      </c>
      <c r="W126" s="1">
        <v>100.3</v>
      </c>
      <c r="X126" s="1">
        <v>1</v>
      </c>
      <c r="Y126" s="1">
        <v>1.5250999999999999</v>
      </c>
      <c r="AA126" s="1">
        <v>0.75360000000000005</v>
      </c>
      <c r="AB126" s="1">
        <v>-0.90720000000000001</v>
      </c>
      <c r="AC126" s="1">
        <v>0.19159999999999999</v>
      </c>
      <c r="AD126" s="1">
        <v>3.9550999999999998</v>
      </c>
      <c r="AE126" s="1">
        <v>5.0027999999999997</v>
      </c>
      <c r="AF126" s="1">
        <v>2.0407999999999999</v>
      </c>
    </row>
    <row r="127" spans="1:32" s="1" customFormat="1" ht="11.25" x14ac:dyDescent="0.2">
      <c r="A127" s="1">
        <v>113</v>
      </c>
      <c r="B127" s="1">
        <v>1</v>
      </c>
      <c r="C127" s="1">
        <v>25.1</v>
      </c>
      <c r="D127" s="1">
        <v>1</v>
      </c>
      <c r="E127" s="1">
        <v>1.9765999999999999</v>
      </c>
      <c r="F127" s="1">
        <v>0.77829999999999999</v>
      </c>
      <c r="G127" s="1">
        <v>0.52780000000000005</v>
      </c>
      <c r="H127" s="1">
        <v>-0.77639999999999998</v>
      </c>
      <c r="I127" s="1">
        <v>1.6000000000000001E-3</v>
      </c>
      <c r="J127" s="1">
        <v>3.4232</v>
      </c>
      <c r="K127" s="1">
        <v>3.8609</v>
      </c>
      <c r="L127" s="1">
        <v>2.0657999999999999</v>
      </c>
      <c r="M127" s="1">
        <v>-55.4</v>
      </c>
      <c r="N127" s="1">
        <v>1</v>
      </c>
      <c r="O127" s="1">
        <v>2.3820999999999999</v>
      </c>
      <c r="P127" s="1">
        <v>0.89690000000000003</v>
      </c>
      <c r="Q127" s="1">
        <v>0.33660000000000001</v>
      </c>
      <c r="R127" s="1">
        <v>-0.5766</v>
      </c>
      <c r="S127" s="1">
        <v>1.9300000000000001E-2</v>
      </c>
      <c r="T127" s="1">
        <v>1.9339</v>
      </c>
      <c r="U127" s="1">
        <v>2.8153999999999999</v>
      </c>
      <c r="V127" s="1">
        <v>1.8946000000000001</v>
      </c>
      <c r="W127" s="1">
        <v>100.3</v>
      </c>
      <c r="X127" s="1">
        <v>1</v>
      </c>
      <c r="Y127" s="1">
        <v>1.4884999999999999</v>
      </c>
      <c r="AA127" s="1">
        <v>0.49709999999999999</v>
      </c>
      <c r="AB127" s="1">
        <v>-0.74670000000000003</v>
      </c>
      <c r="AC127" s="1">
        <v>0.20069999999999999</v>
      </c>
      <c r="AD127" s="1">
        <v>4.0073999999999996</v>
      </c>
      <c r="AE127" s="1">
        <v>5.0761000000000003</v>
      </c>
      <c r="AF127" s="1">
        <v>2.2429000000000001</v>
      </c>
    </row>
    <row r="128" spans="1:32" s="1" customFormat="1" ht="11.25" x14ac:dyDescent="0.2">
      <c r="A128" s="1">
        <v>114</v>
      </c>
      <c r="B128" s="1">
        <v>1</v>
      </c>
      <c r="C128" s="1">
        <v>25.1</v>
      </c>
      <c r="D128" s="1">
        <v>1</v>
      </c>
      <c r="E128" s="1">
        <v>2.0118999999999998</v>
      </c>
      <c r="F128" s="1">
        <v>0.78080000000000005</v>
      </c>
      <c r="G128" s="1">
        <v>0.41549999999999998</v>
      </c>
      <c r="H128" s="1">
        <v>-0.623</v>
      </c>
      <c r="I128" s="1">
        <v>1.2999999999999999E-3</v>
      </c>
      <c r="J128" s="1">
        <v>3.399</v>
      </c>
      <c r="K128" s="1">
        <v>3.9016999999999999</v>
      </c>
      <c r="L128" s="1">
        <v>1.91</v>
      </c>
      <c r="M128" s="1">
        <v>-55.2</v>
      </c>
      <c r="N128" s="1">
        <v>1</v>
      </c>
      <c r="O128" s="1">
        <v>2.4188999999999998</v>
      </c>
      <c r="P128" s="1">
        <v>0.89670000000000005</v>
      </c>
      <c r="Q128" s="1">
        <v>0.43140000000000001</v>
      </c>
      <c r="R128" s="1">
        <v>-0.5242</v>
      </c>
      <c r="S128" s="1">
        <v>2.1999999999999999E-2</v>
      </c>
      <c r="T128" s="1">
        <v>1.9274</v>
      </c>
      <c r="U128" s="1">
        <v>2.8683000000000001</v>
      </c>
      <c r="V128" s="1">
        <v>1.7476</v>
      </c>
      <c r="W128" s="1">
        <v>100.2</v>
      </c>
      <c r="X128" s="1">
        <v>1</v>
      </c>
      <c r="Y128" s="1">
        <v>1.528</v>
      </c>
      <c r="AA128" s="1">
        <v>0.56850000000000001</v>
      </c>
      <c r="AB128" s="1">
        <v>-0.85699999999999998</v>
      </c>
      <c r="AC128" s="1">
        <v>0.191</v>
      </c>
      <c r="AD128" s="1">
        <v>3.9836</v>
      </c>
      <c r="AE128" s="1">
        <v>5.0616000000000003</v>
      </c>
      <c r="AF128" s="1">
        <v>2.0766</v>
      </c>
    </row>
    <row r="129" spans="1:32" s="1" customFormat="1" ht="11.25" x14ac:dyDescent="0.2">
      <c r="A129" s="1">
        <v>115</v>
      </c>
      <c r="B129" s="1">
        <v>1</v>
      </c>
      <c r="C129" s="1">
        <v>25.1</v>
      </c>
      <c r="D129" s="1">
        <v>1</v>
      </c>
      <c r="E129" s="1">
        <v>1.9472</v>
      </c>
      <c r="F129" s="1">
        <v>0.77639999999999998</v>
      </c>
      <c r="G129" s="1">
        <v>0.57430000000000003</v>
      </c>
      <c r="H129" s="1">
        <v>-0.63480000000000003</v>
      </c>
      <c r="I129" s="1">
        <v>1.4E-3</v>
      </c>
      <c r="J129" s="1">
        <v>3.4487000000000001</v>
      </c>
      <c r="K129" s="1">
        <v>3.8367</v>
      </c>
      <c r="L129" s="1">
        <v>2.1594000000000002</v>
      </c>
      <c r="M129" s="1">
        <v>-55.3</v>
      </c>
      <c r="N129" s="1">
        <v>1</v>
      </c>
      <c r="O129" s="1">
        <v>2.3628999999999998</v>
      </c>
      <c r="P129" s="1">
        <v>0.89359999999999995</v>
      </c>
      <c r="Q129" s="1">
        <v>0.42520000000000002</v>
      </c>
      <c r="R129" s="1">
        <v>-0.63090000000000002</v>
      </c>
      <c r="S129" s="1">
        <v>2.06E-2</v>
      </c>
      <c r="T129" s="1">
        <v>1.9931000000000001</v>
      </c>
      <c r="U129" s="1">
        <v>2.7774999999999999</v>
      </c>
      <c r="V129" s="1">
        <v>1.9887999999999999</v>
      </c>
      <c r="W129" s="1">
        <v>100.3</v>
      </c>
      <c r="X129" s="1">
        <v>1</v>
      </c>
      <c r="Y129" s="1">
        <v>1.4510000000000001</v>
      </c>
      <c r="AA129" s="1">
        <v>0.6603</v>
      </c>
      <c r="AB129" s="1">
        <v>-0.95369999999999999</v>
      </c>
      <c r="AC129" s="1">
        <v>0.19159999999999999</v>
      </c>
      <c r="AD129" s="1">
        <v>4.0506000000000002</v>
      </c>
      <c r="AE129" s="1">
        <v>5.0556999999999999</v>
      </c>
      <c r="AF129" s="1">
        <v>2.3351999999999999</v>
      </c>
    </row>
    <row r="130" spans="1:32" s="1" customFormat="1" ht="11.25" x14ac:dyDescent="0.2">
      <c r="A130" s="1">
        <v>116</v>
      </c>
      <c r="B130" s="1">
        <v>1</v>
      </c>
      <c r="C130" s="1">
        <v>25</v>
      </c>
      <c r="D130" s="1">
        <v>1</v>
      </c>
      <c r="E130" s="1">
        <v>1.9722</v>
      </c>
      <c r="F130" s="1">
        <v>0.77739999999999998</v>
      </c>
      <c r="G130" s="1">
        <v>0.64449999999999996</v>
      </c>
      <c r="H130" s="1">
        <v>-0.69940000000000002</v>
      </c>
      <c r="I130" s="1">
        <v>1.5E-3</v>
      </c>
      <c r="J130" s="1">
        <v>3.3791000000000002</v>
      </c>
      <c r="K130" s="1">
        <v>3.7898000000000001</v>
      </c>
      <c r="L130" s="1">
        <v>1.9628000000000001</v>
      </c>
      <c r="M130" s="1">
        <v>-55.3</v>
      </c>
      <c r="N130" s="1">
        <v>1</v>
      </c>
      <c r="O130" s="1">
        <v>2.3883999999999999</v>
      </c>
      <c r="P130" s="1">
        <v>0.89600000000000002</v>
      </c>
      <c r="Q130" s="1">
        <v>0.49469999999999997</v>
      </c>
      <c r="R130" s="1">
        <v>-0.7147</v>
      </c>
      <c r="S130" s="1">
        <v>2.01E-2</v>
      </c>
      <c r="T130" s="1">
        <v>1.9081999999999999</v>
      </c>
      <c r="U130" s="1">
        <v>2.7212000000000001</v>
      </c>
      <c r="V130" s="1">
        <v>1.7963</v>
      </c>
      <c r="W130" s="1">
        <v>100.3</v>
      </c>
      <c r="X130" s="1">
        <v>1</v>
      </c>
      <c r="Y130" s="1">
        <v>1.4709000000000001</v>
      </c>
      <c r="AA130" s="1">
        <v>0.50829999999999997</v>
      </c>
      <c r="AB130" s="1">
        <v>-0.8236</v>
      </c>
      <c r="AC130" s="1">
        <v>0.22090000000000001</v>
      </c>
      <c r="AD130" s="1">
        <v>4.0180999999999996</v>
      </c>
      <c r="AE130" s="1">
        <v>4.9996999999999998</v>
      </c>
      <c r="AF130" s="1">
        <v>2.1358999999999999</v>
      </c>
    </row>
    <row r="131" spans="1:32" s="1" customFormat="1" ht="11.25" x14ac:dyDescent="0.2">
      <c r="A131" s="1">
        <v>117</v>
      </c>
      <c r="B131" s="1">
        <v>1</v>
      </c>
      <c r="C131" s="1">
        <v>24.9</v>
      </c>
      <c r="D131" s="1">
        <v>1</v>
      </c>
      <c r="E131" s="1">
        <v>1.9937</v>
      </c>
      <c r="F131" s="1">
        <v>0.77659999999999996</v>
      </c>
      <c r="G131" s="1">
        <v>0.38119999999999998</v>
      </c>
      <c r="H131" s="1">
        <v>-0.55830000000000002</v>
      </c>
      <c r="I131" s="1">
        <v>1.6000000000000001E-3</v>
      </c>
      <c r="J131" s="1">
        <v>3.3914</v>
      </c>
      <c r="K131" s="1">
        <v>3.8210000000000002</v>
      </c>
      <c r="L131" s="1">
        <v>2.0918000000000001</v>
      </c>
      <c r="M131" s="1">
        <v>-55.2</v>
      </c>
      <c r="N131" s="1">
        <v>1</v>
      </c>
      <c r="O131" s="1">
        <v>2.4087999999999998</v>
      </c>
      <c r="P131" s="1">
        <v>0.89539999999999997</v>
      </c>
      <c r="Q131" s="1">
        <v>0.35580000000000001</v>
      </c>
      <c r="R131" s="1">
        <v>-0.47589999999999999</v>
      </c>
      <c r="S131" s="1">
        <v>1.9400000000000001E-2</v>
      </c>
      <c r="T131" s="1">
        <v>1.9541999999999999</v>
      </c>
      <c r="U131" s="1">
        <v>2.7543000000000002</v>
      </c>
      <c r="V131" s="1">
        <v>1.9200999999999999</v>
      </c>
      <c r="W131" s="1">
        <v>100.4</v>
      </c>
      <c r="X131" s="1">
        <v>1</v>
      </c>
      <c r="Y131" s="1">
        <v>1.4901</v>
      </c>
      <c r="AA131" s="1">
        <v>0.48970000000000002</v>
      </c>
      <c r="AB131" s="1">
        <v>-0.7681</v>
      </c>
      <c r="AC131" s="1">
        <v>0.22189999999999999</v>
      </c>
      <c r="AD131" s="1">
        <v>4.0274999999999999</v>
      </c>
      <c r="AE131" s="1">
        <v>5.0359999999999996</v>
      </c>
      <c r="AF131" s="1">
        <v>2.2696000000000001</v>
      </c>
    </row>
    <row r="132" spans="1:32" s="1" customFormat="1" ht="11.25" x14ac:dyDescent="0.2">
      <c r="A132" s="1">
        <v>118</v>
      </c>
      <c r="B132" s="1">
        <v>1</v>
      </c>
      <c r="C132" s="1">
        <v>25</v>
      </c>
      <c r="D132" s="1">
        <v>1</v>
      </c>
      <c r="E132" s="1">
        <v>2.0038</v>
      </c>
      <c r="F132" s="1">
        <v>0.78220000000000001</v>
      </c>
      <c r="G132" s="1">
        <v>0.57950000000000002</v>
      </c>
      <c r="H132" s="1">
        <v>-0.78190000000000004</v>
      </c>
      <c r="I132" s="1">
        <v>1.1999999999999999E-3</v>
      </c>
      <c r="J132" s="1">
        <v>3.3662999999999998</v>
      </c>
      <c r="K132" s="1">
        <v>3.8412000000000002</v>
      </c>
      <c r="L132" s="1">
        <v>1.8407</v>
      </c>
      <c r="M132" s="1">
        <v>-55.2</v>
      </c>
      <c r="N132" s="1">
        <v>1</v>
      </c>
      <c r="O132" s="1">
        <v>2.4155000000000002</v>
      </c>
      <c r="P132" s="1">
        <v>0.89870000000000005</v>
      </c>
      <c r="Q132" s="1">
        <v>0.56289999999999996</v>
      </c>
      <c r="R132" s="1">
        <v>-0.61119999999999997</v>
      </c>
      <c r="S132" s="1">
        <v>2.0500000000000001E-2</v>
      </c>
      <c r="T132" s="1">
        <v>1.9113</v>
      </c>
      <c r="U132" s="1">
        <v>2.8195999999999999</v>
      </c>
      <c r="V132" s="1">
        <v>1.6798999999999999</v>
      </c>
      <c r="W132" s="1">
        <v>100.1</v>
      </c>
      <c r="X132" s="1">
        <v>1</v>
      </c>
      <c r="Y132" s="1">
        <v>1.5116000000000001</v>
      </c>
      <c r="AA132" s="1">
        <v>0.5696</v>
      </c>
      <c r="AB132" s="1">
        <v>-0.75790000000000002</v>
      </c>
      <c r="AC132" s="1">
        <v>0.19270000000000001</v>
      </c>
      <c r="AD132" s="1">
        <v>3.9552999999999998</v>
      </c>
      <c r="AE132" s="1">
        <v>5.0335000000000001</v>
      </c>
      <c r="AF132" s="1">
        <v>2.0074999999999998</v>
      </c>
    </row>
    <row r="133" spans="1:32" s="1" customFormat="1" ht="11.25" x14ac:dyDescent="0.2">
      <c r="A133" s="1">
        <v>119</v>
      </c>
      <c r="B133" s="1">
        <v>1</v>
      </c>
      <c r="C133" s="1">
        <v>25</v>
      </c>
      <c r="D133" s="1">
        <v>1</v>
      </c>
      <c r="E133" s="1">
        <v>2.0305</v>
      </c>
      <c r="F133" s="1">
        <v>0.77829999999999999</v>
      </c>
      <c r="G133" s="1">
        <v>0.6</v>
      </c>
      <c r="H133" s="1">
        <v>-0.80489999999999995</v>
      </c>
      <c r="I133" s="1">
        <v>1.4E-3</v>
      </c>
      <c r="J133" s="1">
        <v>3.4009999999999998</v>
      </c>
      <c r="K133" s="1">
        <v>3.8206000000000002</v>
      </c>
      <c r="L133" s="1">
        <v>2.0884</v>
      </c>
      <c r="M133" s="1">
        <v>-55.1</v>
      </c>
      <c r="N133" s="1">
        <v>1</v>
      </c>
      <c r="O133" s="1">
        <v>2.472</v>
      </c>
      <c r="P133" s="1">
        <v>0.89480000000000004</v>
      </c>
      <c r="Q133" s="1">
        <v>0.54779999999999995</v>
      </c>
      <c r="R133" s="1">
        <v>-0.75119999999999998</v>
      </c>
      <c r="S133" s="1">
        <v>2.0500000000000001E-2</v>
      </c>
      <c r="T133" s="1">
        <v>1.9420999999999999</v>
      </c>
      <c r="U133" s="1">
        <v>2.7427999999999999</v>
      </c>
      <c r="V133" s="1">
        <v>1.9214</v>
      </c>
      <c r="W133" s="1">
        <v>100.1</v>
      </c>
      <c r="X133" s="1">
        <v>1</v>
      </c>
      <c r="Y133" s="1">
        <v>1.5125999999999999</v>
      </c>
      <c r="AA133" s="1">
        <v>0.70909999999999995</v>
      </c>
      <c r="AB133" s="1">
        <v>-0.75060000000000004</v>
      </c>
      <c r="AC133" s="1">
        <v>0.19040000000000001</v>
      </c>
      <c r="AD133" s="1">
        <v>3.9984000000000002</v>
      </c>
      <c r="AE133" s="1">
        <v>5.0091000000000001</v>
      </c>
      <c r="AF133" s="1">
        <v>2.2648000000000001</v>
      </c>
    </row>
    <row r="134" spans="1:32" s="1" customFormat="1" ht="11.25" x14ac:dyDescent="0.2">
      <c r="A134" s="1">
        <v>120</v>
      </c>
      <c r="B134" s="1">
        <v>1</v>
      </c>
      <c r="C134" s="1">
        <v>24.9</v>
      </c>
      <c r="D134" s="1">
        <v>1</v>
      </c>
      <c r="E134" s="1">
        <v>1.9723999999999999</v>
      </c>
      <c r="F134" s="1">
        <v>0.77990000000000004</v>
      </c>
      <c r="G134" s="1">
        <v>0.62670000000000003</v>
      </c>
      <c r="H134" s="1">
        <v>-0.59730000000000005</v>
      </c>
      <c r="I134" s="1">
        <v>1.2999999999999999E-3</v>
      </c>
      <c r="J134" s="1">
        <v>3.4361000000000002</v>
      </c>
      <c r="K134" s="1">
        <v>3.9790000000000001</v>
      </c>
      <c r="L134" s="1">
        <v>2.0861999999999998</v>
      </c>
      <c r="M134" s="1">
        <v>-55.2</v>
      </c>
      <c r="N134" s="1">
        <v>1</v>
      </c>
      <c r="O134" s="1">
        <v>2.3729</v>
      </c>
      <c r="P134" s="1">
        <v>0.89700000000000002</v>
      </c>
      <c r="Q134" s="1">
        <v>0.35310000000000002</v>
      </c>
      <c r="R134" s="1">
        <v>-0.49130000000000001</v>
      </c>
      <c r="S134" s="1">
        <v>2.0199999999999999E-2</v>
      </c>
      <c r="T134" s="1">
        <v>1.9572000000000001</v>
      </c>
      <c r="U134" s="1">
        <v>2.9083999999999999</v>
      </c>
      <c r="V134" s="1">
        <v>1.9158999999999999</v>
      </c>
      <c r="W134" s="1">
        <v>100.2</v>
      </c>
      <c r="X134" s="1">
        <v>1</v>
      </c>
      <c r="Y134" s="1">
        <v>1.4987999999999999</v>
      </c>
      <c r="AA134" s="1">
        <v>0.7319</v>
      </c>
      <c r="AB134" s="1">
        <v>-0.9617</v>
      </c>
      <c r="AC134" s="1">
        <v>0.18909999999999999</v>
      </c>
      <c r="AD134" s="1">
        <v>4.0374999999999996</v>
      </c>
      <c r="AE134" s="1">
        <v>5.1406999999999998</v>
      </c>
      <c r="AF134" s="1">
        <v>2.2599999999999998</v>
      </c>
    </row>
    <row r="135" spans="1:32" s="1" customFormat="1" ht="11.25" x14ac:dyDescent="0.2">
      <c r="A135" s="1">
        <v>121</v>
      </c>
      <c r="B135" s="1">
        <v>1</v>
      </c>
      <c r="C135" s="1">
        <v>25</v>
      </c>
      <c r="D135" s="1">
        <v>1</v>
      </c>
      <c r="E135" s="1">
        <v>2.0363000000000002</v>
      </c>
      <c r="F135" s="1">
        <v>0.78059999999999996</v>
      </c>
      <c r="G135" s="1">
        <v>0.40239999999999998</v>
      </c>
      <c r="H135" s="1">
        <v>-0.6875</v>
      </c>
      <c r="I135" s="1">
        <v>1.4E-3</v>
      </c>
      <c r="J135" s="1">
        <v>3.3793000000000002</v>
      </c>
      <c r="K135" s="1">
        <v>3.8481999999999998</v>
      </c>
      <c r="L135" s="1">
        <v>1.8797999999999999</v>
      </c>
      <c r="M135" s="1">
        <v>-55.4</v>
      </c>
      <c r="N135" s="1">
        <v>1</v>
      </c>
      <c r="O135" s="1">
        <v>2.4521999999999999</v>
      </c>
      <c r="P135" s="1">
        <v>0.89780000000000004</v>
      </c>
      <c r="Q135" s="1">
        <v>0.35599999999999998</v>
      </c>
      <c r="R135" s="1">
        <v>-0.57779999999999998</v>
      </c>
      <c r="S135" s="1">
        <v>2.1399999999999999E-2</v>
      </c>
      <c r="T135" s="1">
        <v>1.895</v>
      </c>
      <c r="U135" s="1">
        <v>2.7839</v>
      </c>
      <c r="V135" s="1">
        <v>1.7157</v>
      </c>
      <c r="W135" s="1">
        <v>100.4</v>
      </c>
      <c r="X135" s="1">
        <v>1</v>
      </c>
      <c r="Y135" s="1">
        <v>1.5306</v>
      </c>
      <c r="AA135" s="1">
        <v>0.57640000000000002</v>
      </c>
      <c r="AB135" s="1">
        <v>-0.69169999999999998</v>
      </c>
      <c r="AC135" s="1">
        <v>0.2097</v>
      </c>
      <c r="AD135" s="1">
        <v>3.9843999999999999</v>
      </c>
      <c r="AE135" s="1">
        <v>5.0385</v>
      </c>
      <c r="AF135" s="1">
        <v>2.0485000000000002</v>
      </c>
    </row>
    <row r="136" spans="1:32" s="1" customFormat="1" ht="11.25" x14ac:dyDescent="0.2">
      <c r="A136" s="1">
        <v>122</v>
      </c>
      <c r="B136" s="1">
        <v>1</v>
      </c>
      <c r="C136" s="1">
        <v>24.9</v>
      </c>
      <c r="D136" s="1">
        <v>1</v>
      </c>
      <c r="E136" s="1">
        <v>2.0381</v>
      </c>
      <c r="F136" s="1">
        <v>0.7823</v>
      </c>
      <c r="G136" s="1">
        <v>0.48370000000000002</v>
      </c>
      <c r="H136" s="1">
        <v>-0.75760000000000005</v>
      </c>
      <c r="I136" s="1">
        <v>1.6999999999999999E-3</v>
      </c>
      <c r="J136" s="1">
        <v>3.4201000000000001</v>
      </c>
      <c r="K136" s="1">
        <v>3.9283999999999999</v>
      </c>
      <c r="L136" s="1">
        <v>1.903</v>
      </c>
      <c r="M136" s="1">
        <v>-55.1</v>
      </c>
      <c r="N136" s="1">
        <v>1</v>
      </c>
      <c r="O136" s="1">
        <v>2.4510000000000001</v>
      </c>
      <c r="P136" s="1">
        <v>0.8982</v>
      </c>
      <c r="Q136" s="1">
        <v>0.47739999999999999</v>
      </c>
      <c r="R136" s="1">
        <v>-0.504</v>
      </c>
      <c r="S136" s="1">
        <v>2.2599999999999999E-2</v>
      </c>
      <c r="T136" s="1">
        <v>1.9195</v>
      </c>
      <c r="U136" s="1">
        <v>2.8677000000000001</v>
      </c>
      <c r="V136" s="1">
        <v>1.7395</v>
      </c>
      <c r="W136" s="1">
        <v>100.3</v>
      </c>
      <c r="X136" s="1">
        <v>1</v>
      </c>
      <c r="Y136" s="1">
        <v>1.5415000000000001</v>
      </c>
      <c r="AA136" s="1">
        <v>0.51229999999999998</v>
      </c>
      <c r="AB136" s="1">
        <v>-0.7712</v>
      </c>
      <c r="AC136" s="1">
        <v>0.193</v>
      </c>
      <c r="AD136" s="1">
        <v>3.9801000000000002</v>
      </c>
      <c r="AE136" s="1">
        <v>5.1125999999999996</v>
      </c>
      <c r="AF136" s="1">
        <v>2.0716000000000001</v>
      </c>
    </row>
    <row r="137" spans="1:32" s="1" customFormat="1" ht="11.25" x14ac:dyDescent="0.2">
      <c r="A137" s="1">
        <v>123</v>
      </c>
      <c r="B137" s="1">
        <v>1</v>
      </c>
      <c r="C137" s="1">
        <v>25</v>
      </c>
      <c r="D137" s="1">
        <v>1</v>
      </c>
      <c r="E137" s="1">
        <v>1.9460999999999999</v>
      </c>
      <c r="F137" s="1">
        <v>0.7742</v>
      </c>
      <c r="G137" s="1">
        <v>0.65759999999999996</v>
      </c>
      <c r="H137" s="1">
        <v>-0.75990000000000002</v>
      </c>
      <c r="I137" s="1">
        <v>1.8E-3</v>
      </c>
      <c r="J137" s="1">
        <v>3.4796999999999998</v>
      </c>
      <c r="K137" s="1">
        <v>3.8527</v>
      </c>
      <c r="L137" s="1">
        <v>2.3332999999999999</v>
      </c>
      <c r="M137" s="1">
        <v>-55.2</v>
      </c>
      <c r="N137" s="1">
        <v>1</v>
      </c>
      <c r="O137" s="1">
        <v>2.3649</v>
      </c>
      <c r="P137" s="1">
        <v>0.89319999999999999</v>
      </c>
      <c r="Q137" s="1">
        <v>0.60329999999999995</v>
      </c>
      <c r="R137" s="1">
        <v>-0.65559999999999996</v>
      </c>
      <c r="S137" s="1">
        <v>1.9300000000000001E-2</v>
      </c>
      <c r="T137" s="1">
        <v>1.9959</v>
      </c>
      <c r="U137" s="1">
        <v>2.7784</v>
      </c>
      <c r="V137" s="1">
        <v>2.1579999999999999</v>
      </c>
      <c r="W137" s="1">
        <v>99.9</v>
      </c>
      <c r="X137" s="1">
        <v>1</v>
      </c>
      <c r="Y137" s="1">
        <v>1.4427000000000001</v>
      </c>
      <c r="AA137" s="1">
        <v>0.72109999999999996</v>
      </c>
      <c r="AB137" s="1">
        <v>-0.98899999999999999</v>
      </c>
      <c r="AC137" s="1">
        <v>0.219</v>
      </c>
      <c r="AD137" s="1">
        <v>4.1310000000000002</v>
      </c>
      <c r="AE137" s="1">
        <v>5.1078000000000001</v>
      </c>
      <c r="AF137" s="1">
        <v>2.5186999999999999</v>
      </c>
    </row>
    <row r="138" spans="1:32" s="1" customFormat="1" ht="11.25" x14ac:dyDescent="0.2">
      <c r="A138" s="1">
        <v>124</v>
      </c>
      <c r="B138" s="1">
        <v>1</v>
      </c>
      <c r="C138" s="1">
        <v>24.9</v>
      </c>
      <c r="D138" s="1">
        <v>1</v>
      </c>
      <c r="E138" s="1">
        <v>2.0493999999999999</v>
      </c>
      <c r="F138" s="1">
        <v>0.7772</v>
      </c>
      <c r="G138" s="1">
        <v>0.51529999999999998</v>
      </c>
      <c r="H138" s="1">
        <v>-0.76219999999999999</v>
      </c>
      <c r="I138" s="1">
        <v>1.5E-3</v>
      </c>
      <c r="J138" s="1">
        <v>3.4293</v>
      </c>
      <c r="K138" s="1">
        <v>3.8565</v>
      </c>
      <c r="L138" s="1">
        <v>2.0914000000000001</v>
      </c>
      <c r="M138" s="1">
        <v>-55.3</v>
      </c>
      <c r="N138" s="1">
        <v>1</v>
      </c>
      <c r="O138" s="1">
        <v>2.4935</v>
      </c>
      <c r="P138" s="1">
        <v>0.89580000000000004</v>
      </c>
      <c r="Q138" s="1">
        <v>0.5444</v>
      </c>
      <c r="R138" s="1">
        <v>-0.74619999999999997</v>
      </c>
      <c r="S138" s="1">
        <v>2.0500000000000001E-2</v>
      </c>
      <c r="T138" s="1">
        <v>1.9419999999999999</v>
      </c>
      <c r="U138" s="1">
        <v>2.7686999999999999</v>
      </c>
      <c r="V138" s="1">
        <v>1.9188000000000001</v>
      </c>
      <c r="W138" s="1">
        <v>100.2</v>
      </c>
      <c r="X138" s="1">
        <v>1</v>
      </c>
      <c r="Y138" s="1">
        <v>1.5208999999999999</v>
      </c>
      <c r="AA138" s="1">
        <v>0.74770000000000003</v>
      </c>
      <c r="AB138" s="1">
        <v>-0.93200000000000005</v>
      </c>
      <c r="AC138" s="1">
        <v>0.224</v>
      </c>
      <c r="AD138" s="1">
        <v>4.0033000000000003</v>
      </c>
      <c r="AE138" s="1">
        <v>5.0281000000000002</v>
      </c>
      <c r="AF138" s="1">
        <v>2.2690999999999999</v>
      </c>
    </row>
    <row r="139" spans="1:32" s="1" customFormat="1" ht="11.25" x14ac:dyDescent="0.2">
      <c r="A139" s="1">
        <v>125</v>
      </c>
      <c r="B139" s="1">
        <v>15</v>
      </c>
      <c r="C139" s="1">
        <v>25</v>
      </c>
      <c r="D139" s="1">
        <v>1</v>
      </c>
      <c r="E139" s="1">
        <v>2.1738</v>
      </c>
      <c r="F139" s="1">
        <v>0.7843</v>
      </c>
      <c r="G139" s="1">
        <v>0.3594</v>
      </c>
      <c r="H139" s="1">
        <v>-0.39429999999999998</v>
      </c>
      <c r="I139" s="1">
        <v>1.2999999999999999E-3</v>
      </c>
      <c r="J139" s="1">
        <v>3.5026000000000002</v>
      </c>
      <c r="K139" s="1">
        <v>3.9489999999999998</v>
      </c>
      <c r="L139" s="1">
        <v>1.9869000000000001</v>
      </c>
      <c r="M139" s="1">
        <v>-54.9</v>
      </c>
      <c r="N139" s="1">
        <v>1</v>
      </c>
      <c r="O139" s="1">
        <v>2.6349</v>
      </c>
      <c r="P139" s="1">
        <v>0.89780000000000004</v>
      </c>
      <c r="Q139" s="1">
        <v>0.2928</v>
      </c>
      <c r="R139" s="1">
        <v>-0.33250000000000002</v>
      </c>
      <c r="S139" s="1">
        <v>2.1899999999999999E-2</v>
      </c>
      <c r="T139" s="1">
        <v>2.0165000000000002</v>
      </c>
      <c r="U139" s="1">
        <v>2.9358</v>
      </c>
      <c r="V139" s="1">
        <v>1.8252999999999999</v>
      </c>
      <c r="W139" s="1">
        <v>100</v>
      </c>
      <c r="X139" s="1">
        <v>1</v>
      </c>
      <c r="Y139" s="1">
        <v>1.6472</v>
      </c>
      <c r="AA139" s="1">
        <v>0.91549999999999998</v>
      </c>
      <c r="AB139" s="1">
        <v>-1.1969000000000001</v>
      </c>
      <c r="AC139" s="1">
        <v>0.12429999999999999</v>
      </c>
      <c r="AD139" s="1">
        <v>4.0401999999999996</v>
      </c>
      <c r="AE139" s="1">
        <v>5.1284999999999998</v>
      </c>
      <c r="AF139" s="1">
        <v>2.1524999999999999</v>
      </c>
    </row>
    <row r="140" spans="1:32" s="1" customFormat="1" ht="11.25" x14ac:dyDescent="0.2">
      <c r="A140" s="1">
        <v>126</v>
      </c>
      <c r="B140" s="1">
        <v>1</v>
      </c>
      <c r="C140" s="1">
        <v>25</v>
      </c>
      <c r="D140" s="1">
        <v>1</v>
      </c>
      <c r="E140" s="1">
        <v>1.9221999999999999</v>
      </c>
      <c r="F140" s="1">
        <v>0.77449999999999997</v>
      </c>
      <c r="G140" s="1">
        <v>0.50470000000000004</v>
      </c>
      <c r="H140" s="1">
        <v>-0.54069999999999996</v>
      </c>
      <c r="I140" s="1">
        <v>1.8E-3</v>
      </c>
      <c r="J140" s="1">
        <v>3.4359000000000002</v>
      </c>
      <c r="K140" s="1">
        <v>3.8058999999999998</v>
      </c>
      <c r="L140" s="1">
        <v>2.2789999999999999</v>
      </c>
      <c r="M140" s="1">
        <v>-55.2</v>
      </c>
      <c r="N140" s="1">
        <v>1</v>
      </c>
      <c r="O140" s="1">
        <v>2.3489</v>
      </c>
      <c r="P140" s="1">
        <v>0.89510000000000001</v>
      </c>
      <c r="Q140" s="1">
        <v>0.55840000000000001</v>
      </c>
      <c r="R140" s="1">
        <v>-0.72150000000000003</v>
      </c>
      <c r="S140" s="1">
        <v>1.8700000000000001E-2</v>
      </c>
      <c r="T140" s="1">
        <v>1.9383999999999999</v>
      </c>
      <c r="U140" s="1">
        <v>2.6901999999999999</v>
      </c>
      <c r="V140" s="1">
        <v>2.1040999999999999</v>
      </c>
      <c r="W140" s="1">
        <v>100.3</v>
      </c>
      <c r="X140" s="1">
        <v>1</v>
      </c>
      <c r="Y140" s="1">
        <v>1.4037999999999999</v>
      </c>
      <c r="AA140" s="1">
        <v>0.73980000000000001</v>
      </c>
      <c r="AB140" s="1">
        <v>-0.8911</v>
      </c>
      <c r="AC140" s="1">
        <v>0.25580000000000003</v>
      </c>
      <c r="AD140" s="1">
        <v>4.1519000000000004</v>
      </c>
      <c r="AE140" s="1">
        <v>5.0688000000000004</v>
      </c>
      <c r="AF140" s="1">
        <v>2.4668000000000001</v>
      </c>
    </row>
    <row r="141" spans="1:32" s="1" customFormat="1" ht="11.25" x14ac:dyDescent="0.2">
      <c r="A141" s="1">
        <v>127</v>
      </c>
      <c r="B141" s="1">
        <v>1</v>
      </c>
      <c r="C141" s="1">
        <v>24.8</v>
      </c>
      <c r="D141" s="1">
        <v>1</v>
      </c>
      <c r="E141" s="1">
        <v>2.0284</v>
      </c>
      <c r="F141" s="1">
        <v>0.77549999999999997</v>
      </c>
      <c r="G141" s="1">
        <v>0.38369999999999999</v>
      </c>
      <c r="H141" s="1">
        <v>-0.56779999999999997</v>
      </c>
      <c r="I141" s="1">
        <v>1.6999999999999999E-3</v>
      </c>
      <c r="J141" s="1">
        <v>3.4285999999999999</v>
      </c>
      <c r="K141" s="1">
        <v>3.8420000000000001</v>
      </c>
      <c r="L141" s="1">
        <v>2.2410999999999999</v>
      </c>
      <c r="M141" s="1">
        <v>-55.1</v>
      </c>
      <c r="N141" s="1">
        <v>1</v>
      </c>
      <c r="O141" s="1">
        <v>2.4706000000000001</v>
      </c>
      <c r="P141" s="1">
        <v>0.89570000000000005</v>
      </c>
      <c r="Q141" s="1">
        <v>0.42</v>
      </c>
      <c r="R141" s="1">
        <v>-0.44719999999999999</v>
      </c>
      <c r="S141" s="1">
        <v>1.9400000000000001E-2</v>
      </c>
      <c r="T141" s="1">
        <v>1.9074</v>
      </c>
      <c r="U141" s="1">
        <v>2.7549000000000001</v>
      </c>
      <c r="V141" s="1">
        <v>2.0653000000000001</v>
      </c>
      <c r="W141" s="1">
        <v>100.3</v>
      </c>
      <c r="X141" s="1">
        <v>1</v>
      </c>
      <c r="Y141" s="1">
        <v>1.4984999999999999</v>
      </c>
      <c r="AA141" s="1">
        <v>0.55489999999999995</v>
      </c>
      <c r="AB141" s="1">
        <v>-0.89200000000000002</v>
      </c>
      <c r="AC141" s="1">
        <v>0.23530000000000001</v>
      </c>
      <c r="AD141" s="1">
        <v>4.0628000000000002</v>
      </c>
      <c r="AE141" s="1">
        <v>5.0820999999999996</v>
      </c>
      <c r="AF141" s="1">
        <v>2.4281000000000001</v>
      </c>
    </row>
    <row r="142" spans="1:32" s="1" customFormat="1" ht="11.25" x14ac:dyDescent="0.2">
      <c r="A142" s="1">
        <v>128</v>
      </c>
      <c r="B142" s="1">
        <v>1</v>
      </c>
      <c r="C142" s="1">
        <v>25</v>
      </c>
      <c r="D142" s="1">
        <v>1</v>
      </c>
      <c r="E142" s="1">
        <v>2.0137</v>
      </c>
      <c r="F142" s="1">
        <v>0.77439999999999998</v>
      </c>
      <c r="G142" s="1">
        <v>0.54410000000000003</v>
      </c>
      <c r="H142" s="1">
        <v>-0.4899</v>
      </c>
      <c r="I142" s="1">
        <v>1.5E-3</v>
      </c>
      <c r="J142" s="1">
        <v>3.4369000000000001</v>
      </c>
      <c r="K142" s="1">
        <v>3.8349000000000002</v>
      </c>
      <c r="L142" s="1">
        <v>2.2481</v>
      </c>
      <c r="M142" s="1">
        <v>-55.4</v>
      </c>
      <c r="N142" s="1">
        <v>1</v>
      </c>
      <c r="O142" s="1">
        <v>2.4470000000000001</v>
      </c>
      <c r="P142" s="1">
        <v>0.89510000000000001</v>
      </c>
      <c r="Q142" s="1">
        <v>0.61240000000000006</v>
      </c>
      <c r="R142" s="1">
        <v>-0.60160000000000002</v>
      </c>
      <c r="S142" s="1">
        <v>2.0299999999999999E-2</v>
      </c>
      <c r="T142" s="1">
        <v>1.8952</v>
      </c>
      <c r="U142" s="1">
        <v>2.7397</v>
      </c>
      <c r="V142" s="1">
        <v>2.0703999999999998</v>
      </c>
      <c r="W142" s="1">
        <v>100.3</v>
      </c>
      <c r="X142" s="1">
        <v>1</v>
      </c>
      <c r="Y142" s="1">
        <v>1.4914000000000001</v>
      </c>
      <c r="AA142" s="1">
        <v>0.71209999999999996</v>
      </c>
      <c r="AB142" s="1">
        <v>-0.89339999999999997</v>
      </c>
      <c r="AC142" s="1">
        <v>0.23910000000000001</v>
      </c>
      <c r="AD142" s="1">
        <v>4.1055000000000001</v>
      </c>
      <c r="AE142" s="1">
        <v>5.0777000000000001</v>
      </c>
      <c r="AF142" s="1">
        <v>2.4337</v>
      </c>
    </row>
    <row r="143" spans="1:32" s="1" customFormat="1" ht="11.25" x14ac:dyDescent="0.2">
      <c r="A143" s="1">
        <v>130</v>
      </c>
      <c r="B143" s="1">
        <v>15</v>
      </c>
      <c r="C143" s="1">
        <v>25.1</v>
      </c>
      <c r="D143" s="1">
        <v>1</v>
      </c>
      <c r="E143" s="1">
        <v>2.0684</v>
      </c>
      <c r="F143" s="1">
        <v>0.7823</v>
      </c>
      <c r="G143" s="1">
        <v>0.3387</v>
      </c>
      <c r="H143" s="1">
        <v>-0.34289999999999998</v>
      </c>
      <c r="I143" s="1">
        <v>1.6999999999999999E-3</v>
      </c>
      <c r="J143" s="1">
        <v>3.4782000000000002</v>
      </c>
      <c r="K143" s="1">
        <v>3.9255</v>
      </c>
      <c r="L143" s="1">
        <v>1.9777</v>
      </c>
      <c r="M143" s="1">
        <v>-55</v>
      </c>
      <c r="N143" s="1">
        <v>1</v>
      </c>
      <c r="O143" s="1">
        <v>2.5036</v>
      </c>
      <c r="P143" s="1">
        <v>0.89639999999999997</v>
      </c>
      <c r="Q143" s="1">
        <v>0.29110000000000003</v>
      </c>
      <c r="R143" s="1">
        <v>-0.26329999999999998</v>
      </c>
      <c r="S143" s="1">
        <v>2.18E-2</v>
      </c>
      <c r="T143" s="1">
        <v>2.0491999999999999</v>
      </c>
      <c r="U143" s="1">
        <v>2.8740000000000001</v>
      </c>
      <c r="V143" s="1">
        <v>1.8010999999999999</v>
      </c>
      <c r="W143" s="1">
        <v>100.3</v>
      </c>
      <c r="X143" s="1">
        <v>1</v>
      </c>
      <c r="Y143" s="1">
        <v>1.5789</v>
      </c>
      <c r="AA143" s="1">
        <v>0.79810000000000003</v>
      </c>
      <c r="AB143" s="1">
        <v>-1.0078</v>
      </c>
      <c r="AC143" s="1">
        <v>0.1249</v>
      </c>
      <c r="AD143" s="1">
        <v>4.0442</v>
      </c>
      <c r="AE143" s="1">
        <v>5.0976999999999997</v>
      </c>
      <c r="AF143" s="1">
        <v>2.1438000000000001</v>
      </c>
    </row>
    <row r="144" spans="1:32" s="1" customFormat="1" ht="11.25" x14ac:dyDescent="0.2">
      <c r="A144" s="1">
        <v>131</v>
      </c>
      <c r="B144" s="1">
        <v>1</v>
      </c>
      <c r="C144" s="1">
        <v>25</v>
      </c>
      <c r="D144" s="1">
        <v>1</v>
      </c>
      <c r="E144" s="1">
        <v>1.9845999999999999</v>
      </c>
      <c r="F144" s="1">
        <v>0.77510000000000001</v>
      </c>
      <c r="G144" s="1">
        <v>0.3861</v>
      </c>
      <c r="H144" s="1">
        <v>-0.4798</v>
      </c>
      <c r="I144" s="1">
        <v>1.4E-3</v>
      </c>
      <c r="J144" s="1">
        <v>3.45</v>
      </c>
      <c r="K144" s="1">
        <v>3.831</v>
      </c>
      <c r="L144" s="1">
        <v>2.2109999999999999</v>
      </c>
      <c r="M144" s="1">
        <v>-55.3</v>
      </c>
      <c r="N144" s="1">
        <v>1</v>
      </c>
      <c r="O144" s="1">
        <v>2.4073000000000002</v>
      </c>
      <c r="P144" s="1">
        <v>0.89459999999999995</v>
      </c>
      <c r="Q144" s="1">
        <v>0.33460000000000001</v>
      </c>
      <c r="R144" s="1">
        <v>-0.47410000000000002</v>
      </c>
      <c r="S144" s="1">
        <v>2.0400000000000001E-2</v>
      </c>
      <c r="T144" s="1">
        <v>1.9835</v>
      </c>
      <c r="U144" s="1">
        <v>2.7770000000000001</v>
      </c>
      <c r="V144" s="1">
        <v>2.0333999999999999</v>
      </c>
      <c r="W144" s="1">
        <v>100.2</v>
      </c>
      <c r="X144" s="1">
        <v>1</v>
      </c>
      <c r="Y144" s="1">
        <v>1.4741</v>
      </c>
      <c r="AA144" s="1">
        <v>0.60829999999999995</v>
      </c>
      <c r="AB144" s="1">
        <v>-0.69279999999999997</v>
      </c>
      <c r="AC144" s="1">
        <v>0.22020000000000001</v>
      </c>
      <c r="AD144" s="1">
        <v>4.0319000000000003</v>
      </c>
      <c r="AE144" s="1">
        <v>5.0777000000000001</v>
      </c>
      <c r="AF144" s="1">
        <v>2.3927</v>
      </c>
    </row>
    <row r="145" spans="1:32" s="1" customFormat="1" ht="11.25" x14ac:dyDescent="0.2">
      <c r="A145" s="1">
        <v>132</v>
      </c>
      <c r="B145" s="1">
        <v>15</v>
      </c>
      <c r="C145" s="1">
        <v>25</v>
      </c>
      <c r="D145" s="1">
        <v>1</v>
      </c>
      <c r="E145" s="1">
        <v>2.2126999999999999</v>
      </c>
      <c r="F145" s="1">
        <v>0.78890000000000005</v>
      </c>
      <c r="G145" s="1">
        <v>0.35659999999999997</v>
      </c>
      <c r="H145" s="1">
        <v>-0.35060000000000002</v>
      </c>
      <c r="I145" s="1">
        <v>1.5E-3</v>
      </c>
      <c r="J145" s="1">
        <v>3.4594</v>
      </c>
      <c r="K145" s="1">
        <v>4.0381999999999998</v>
      </c>
      <c r="L145" s="1">
        <v>1.7625999999999999</v>
      </c>
      <c r="M145" s="1">
        <v>-54.9</v>
      </c>
      <c r="N145" s="1">
        <v>1</v>
      </c>
      <c r="O145" s="1">
        <v>2.6677</v>
      </c>
      <c r="P145" s="1">
        <v>0.89980000000000004</v>
      </c>
      <c r="Q145" s="1">
        <v>0.25940000000000002</v>
      </c>
      <c r="R145" s="1">
        <v>-0.31630000000000003</v>
      </c>
      <c r="S145" s="1">
        <v>1.9400000000000001E-2</v>
      </c>
      <c r="T145" s="1">
        <v>2.0747</v>
      </c>
      <c r="U145" s="1">
        <v>3.0417999999999998</v>
      </c>
      <c r="V145" s="1">
        <v>1.61</v>
      </c>
      <c r="W145" s="1">
        <v>100.1</v>
      </c>
      <c r="X145" s="1">
        <v>1</v>
      </c>
      <c r="Y145" s="1">
        <v>1.7015</v>
      </c>
      <c r="AA145" s="1">
        <v>0.79590000000000005</v>
      </c>
      <c r="AB145" s="1">
        <v>-1.0563</v>
      </c>
      <c r="AC145" s="1">
        <v>0.1181</v>
      </c>
      <c r="AD145" s="1">
        <v>3.9462999999999999</v>
      </c>
      <c r="AE145" s="1">
        <v>5.0560999999999998</v>
      </c>
      <c r="AF145" s="1">
        <v>1.917</v>
      </c>
    </row>
    <row r="146" spans="1:32" s="1" customFormat="1" ht="11.25" x14ac:dyDescent="0.2">
      <c r="A146" s="1">
        <v>133</v>
      </c>
      <c r="B146" s="1">
        <v>1</v>
      </c>
      <c r="C146" s="1">
        <v>25</v>
      </c>
      <c r="D146" s="1">
        <v>1</v>
      </c>
      <c r="E146" s="1">
        <v>2.0314000000000001</v>
      </c>
      <c r="F146" s="1">
        <v>0.77629999999999999</v>
      </c>
      <c r="G146" s="1">
        <v>0.52010000000000001</v>
      </c>
      <c r="H146" s="1">
        <v>-0.71489999999999998</v>
      </c>
      <c r="I146" s="1">
        <v>1.9E-3</v>
      </c>
      <c r="J146" s="1">
        <v>3.464</v>
      </c>
      <c r="K146" s="1">
        <v>3.9108000000000001</v>
      </c>
      <c r="L146" s="1">
        <v>2.2248000000000001</v>
      </c>
      <c r="M146" s="1">
        <v>-55.3</v>
      </c>
      <c r="N146" s="1">
        <v>1</v>
      </c>
      <c r="O146" s="1">
        <v>2.4546000000000001</v>
      </c>
      <c r="P146" s="1">
        <v>0.89629999999999999</v>
      </c>
      <c r="Q146" s="1">
        <v>0.51370000000000005</v>
      </c>
      <c r="R146" s="1">
        <v>-0.70269999999999999</v>
      </c>
      <c r="S146" s="1">
        <v>1.9699999999999999E-2</v>
      </c>
      <c r="T146" s="1">
        <v>1.948</v>
      </c>
      <c r="U146" s="1">
        <v>2.8016999999999999</v>
      </c>
      <c r="V146" s="1">
        <v>2.0482999999999998</v>
      </c>
      <c r="W146" s="1">
        <v>100.2</v>
      </c>
      <c r="X146" s="1">
        <v>1</v>
      </c>
      <c r="Y146" s="1">
        <v>1.5109999999999999</v>
      </c>
      <c r="AA146" s="1">
        <v>0.70979999999999999</v>
      </c>
      <c r="AB146" s="1">
        <v>-0.73360000000000003</v>
      </c>
      <c r="AC146" s="1">
        <v>0.23449999999999999</v>
      </c>
      <c r="AD146" s="1">
        <v>4.1094999999999997</v>
      </c>
      <c r="AE146" s="1">
        <v>5.1703000000000001</v>
      </c>
      <c r="AF146" s="1">
        <v>2.4089999999999998</v>
      </c>
    </row>
    <row r="147" spans="1:32" s="1" customFormat="1" ht="11.25" x14ac:dyDescent="0.2">
      <c r="A147" s="1">
        <v>134</v>
      </c>
      <c r="B147" s="1">
        <v>1</v>
      </c>
      <c r="C147" s="1">
        <v>25</v>
      </c>
      <c r="D147" s="1">
        <v>1</v>
      </c>
      <c r="E147" s="1">
        <v>2.0539000000000001</v>
      </c>
      <c r="F147" s="1">
        <v>0.78059999999999996</v>
      </c>
      <c r="G147" s="1">
        <v>0.42430000000000001</v>
      </c>
      <c r="H147" s="1">
        <v>-0.48620000000000002</v>
      </c>
      <c r="I147" s="1">
        <v>2E-3</v>
      </c>
      <c r="J147" s="1">
        <v>3.4817999999999998</v>
      </c>
      <c r="K147" s="1">
        <v>3.8733</v>
      </c>
      <c r="L147" s="1">
        <v>2.0270999999999999</v>
      </c>
      <c r="M147" s="1">
        <v>-55.4</v>
      </c>
      <c r="N147" s="1">
        <v>1</v>
      </c>
      <c r="O147" s="1">
        <v>2.4998</v>
      </c>
      <c r="P147" s="1">
        <v>0.89939999999999998</v>
      </c>
      <c r="Q147" s="1">
        <v>0.44069999999999998</v>
      </c>
      <c r="R147" s="1">
        <v>-0.4612</v>
      </c>
      <c r="S147" s="1">
        <v>2.3300000000000001E-2</v>
      </c>
      <c r="T147" s="1">
        <v>1.9415</v>
      </c>
      <c r="U147" s="1">
        <v>2.8016000000000001</v>
      </c>
      <c r="V147" s="1">
        <v>1.8583000000000001</v>
      </c>
      <c r="W147" s="1">
        <v>100.3</v>
      </c>
      <c r="X147" s="1">
        <v>1</v>
      </c>
      <c r="Y147" s="1">
        <v>1.5128999999999999</v>
      </c>
      <c r="AA147" s="1">
        <v>0.72640000000000005</v>
      </c>
      <c r="AB147" s="1">
        <v>-0.80530000000000002</v>
      </c>
      <c r="AC147" s="1">
        <v>0.23</v>
      </c>
      <c r="AD147" s="1">
        <v>4.0631000000000004</v>
      </c>
      <c r="AE147" s="1">
        <v>5.1020000000000003</v>
      </c>
      <c r="AF147" s="1">
        <v>2.2048999999999999</v>
      </c>
    </row>
    <row r="148" spans="1:32" s="1" customFormat="1" ht="11.25" x14ac:dyDescent="0.2">
      <c r="A148" s="1">
        <v>135</v>
      </c>
      <c r="B148" s="1">
        <v>1</v>
      </c>
      <c r="C148" s="1">
        <v>24.9</v>
      </c>
      <c r="D148" s="1">
        <v>1</v>
      </c>
      <c r="E148" s="1">
        <v>2.0621</v>
      </c>
      <c r="F148" s="1">
        <v>0.77790000000000004</v>
      </c>
      <c r="G148" s="1">
        <v>0.4123</v>
      </c>
      <c r="H148" s="1">
        <v>-0.52400000000000002</v>
      </c>
      <c r="I148" s="1">
        <v>1.2999999999999999E-3</v>
      </c>
      <c r="J148" s="1">
        <v>3.3717999999999999</v>
      </c>
      <c r="K148" s="1">
        <v>3.8304</v>
      </c>
      <c r="L148" s="1">
        <v>1.9698</v>
      </c>
      <c r="M148" s="1">
        <v>-55.4</v>
      </c>
      <c r="N148" s="1">
        <v>1</v>
      </c>
      <c r="O148" s="1">
        <v>2.4998</v>
      </c>
      <c r="P148" s="1">
        <v>0.8962</v>
      </c>
      <c r="Q148" s="1">
        <v>0.60770000000000002</v>
      </c>
      <c r="R148" s="1">
        <v>-0.73680000000000001</v>
      </c>
      <c r="S148" s="1">
        <v>1.84E-2</v>
      </c>
      <c r="T148" s="1">
        <v>1.9135</v>
      </c>
      <c r="U148" s="1">
        <v>2.7435999999999998</v>
      </c>
      <c r="V148" s="1">
        <v>1.8029999999999999</v>
      </c>
      <c r="W148" s="1">
        <v>100</v>
      </c>
      <c r="X148" s="1">
        <v>1</v>
      </c>
      <c r="Y148" s="1">
        <v>1.5399</v>
      </c>
      <c r="AA148" s="1">
        <v>0.61470000000000002</v>
      </c>
      <c r="AB148" s="1">
        <v>-0.70979999999999999</v>
      </c>
      <c r="AC148" s="1">
        <v>0.2208</v>
      </c>
      <c r="AD148" s="1">
        <v>3.9539</v>
      </c>
      <c r="AE148" s="1">
        <v>5.0274999999999999</v>
      </c>
      <c r="AF148" s="1">
        <v>2.1429</v>
      </c>
    </row>
    <row r="149" spans="1:32" s="1" customFormat="1" ht="11.25" x14ac:dyDescent="0.2">
      <c r="A149" s="1">
        <v>136</v>
      </c>
      <c r="B149" s="1">
        <v>1</v>
      </c>
      <c r="C149" s="1">
        <v>25</v>
      </c>
      <c r="D149" s="1">
        <v>1</v>
      </c>
      <c r="E149" s="1">
        <v>1.9932000000000001</v>
      </c>
      <c r="F149" s="1">
        <v>0.77690000000000003</v>
      </c>
      <c r="G149" s="1">
        <v>0.38190000000000002</v>
      </c>
      <c r="H149" s="1">
        <v>-0.65890000000000004</v>
      </c>
      <c r="I149" s="1">
        <v>1.6999999999999999E-3</v>
      </c>
      <c r="J149" s="1">
        <v>3.4792999999999998</v>
      </c>
      <c r="K149" s="1">
        <v>3.8329</v>
      </c>
      <c r="L149" s="1">
        <v>2.1375999999999999</v>
      </c>
      <c r="M149" s="1">
        <v>-55.3</v>
      </c>
      <c r="N149" s="1">
        <v>1</v>
      </c>
      <c r="O149" s="1">
        <v>2.4194</v>
      </c>
      <c r="P149" s="1">
        <v>0.89739999999999998</v>
      </c>
      <c r="Q149" s="1">
        <v>0.44159999999999999</v>
      </c>
      <c r="R149" s="1">
        <v>-0.44719999999999999</v>
      </c>
      <c r="S149" s="1">
        <v>2.07E-2</v>
      </c>
      <c r="T149" s="1">
        <v>1.9652000000000001</v>
      </c>
      <c r="U149" s="1">
        <v>2.7709000000000001</v>
      </c>
      <c r="V149" s="1">
        <v>1.9615</v>
      </c>
      <c r="W149" s="1">
        <v>100.2</v>
      </c>
      <c r="X149" s="1">
        <v>1</v>
      </c>
      <c r="Y149" s="1">
        <v>1.4738</v>
      </c>
      <c r="AA149" s="1">
        <v>0.4526</v>
      </c>
      <c r="AB149" s="1">
        <v>-0.65149999999999997</v>
      </c>
      <c r="AC149" s="1">
        <v>0.24360000000000001</v>
      </c>
      <c r="AD149" s="1">
        <v>4.0601000000000003</v>
      </c>
      <c r="AE149" s="1">
        <v>5.0568</v>
      </c>
      <c r="AF149" s="1">
        <v>2.323</v>
      </c>
    </row>
    <row r="150" spans="1:32" s="1" customFormat="1" ht="11.25" x14ac:dyDescent="0.2">
      <c r="A150" s="1">
        <v>137</v>
      </c>
      <c r="B150" s="1">
        <v>1</v>
      </c>
      <c r="C150" s="1">
        <v>25</v>
      </c>
      <c r="D150" s="1">
        <v>1</v>
      </c>
      <c r="E150" s="1">
        <v>1.9807999999999999</v>
      </c>
      <c r="F150" s="1">
        <v>0.77539999999999998</v>
      </c>
      <c r="G150" s="1">
        <v>0.58779999999999999</v>
      </c>
      <c r="H150" s="1">
        <v>-0.55840000000000001</v>
      </c>
      <c r="I150" s="1">
        <v>1.6999999999999999E-3</v>
      </c>
      <c r="J150" s="1">
        <v>3.4523999999999999</v>
      </c>
      <c r="K150" s="1">
        <v>3.8203999999999998</v>
      </c>
      <c r="L150" s="1">
        <v>2.1816</v>
      </c>
      <c r="M150" s="1">
        <v>-55.2</v>
      </c>
      <c r="N150" s="1">
        <v>1</v>
      </c>
      <c r="O150" s="1">
        <v>2.4186000000000001</v>
      </c>
      <c r="P150" s="1">
        <v>0.8962</v>
      </c>
      <c r="Q150" s="1">
        <v>0.50719999999999998</v>
      </c>
      <c r="R150" s="1">
        <v>-0.47770000000000001</v>
      </c>
      <c r="S150" s="1">
        <v>2.0799999999999999E-2</v>
      </c>
      <c r="T150" s="1">
        <v>1.9154</v>
      </c>
      <c r="U150" s="1">
        <v>2.7202999999999999</v>
      </c>
      <c r="V150" s="1">
        <v>2.0085000000000002</v>
      </c>
      <c r="W150" s="1">
        <v>100.5</v>
      </c>
      <c r="X150" s="1">
        <v>1</v>
      </c>
      <c r="Y150" s="1">
        <v>1.4529000000000001</v>
      </c>
      <c r="AA150" s="1">
        <v>0.52980000000000005</v>
      </c>
      <c r="AB150" s="1">
        <v>-0.63239999999999996</v>
      </c>
      <c r="AC150" s="1">
        <v>0.26140000000000002</v>
      </c>
      <c r="AD150" s="1">
        <v>4.0580999999999996</v>
      </c>
      <c r="AE150" s="1">
        <v>5.0972999999999997</v>
      </c>
      <c r="AF150" s="1">
        <v>2.3692000000000002</v>
      </c>
    </row>
    <row r="151" spans="1:32" s="1" customFormat="1" ht="11.25" x14ac:dyDescent="0.2">
      <c r="A151" s="1">
        <v>138</v>
      </c>
      <c r="B151" s="1">
        <v>15</v>
      </c>
      <c r="C151" s="1">
        <v>25.1</v>
      </c>
      <c r="D151" s="1">
        <v>1</v>
      </c>
      <c r="E151" s="1">
        <v>2.125</v>
      </c>
      <c r="F151" s="1">
        <v>0.78520000000000001</v>
      </c>
      <c r="G151" s="1">
        <v>0.33910000000000001</v>
      </c>
      <c r="H151" s="1">
        <v>-0.39250000000000002</v>
      </c>
      <c r="I151" s="1">
        <v>2.2000000000000001E-3</v>
      </c>
      <c r="J151" s="1">
        <v>3.4723999999999999</v>
      </c>
      <c r="K151" s="1">
        <v>3.9321000000000002</v>
      </c>
      <c r="L151" s="1">
        <v>1.9729000000000001</v>
      </c>
      <c r="M151" s="1">
        <v>-55.1</v>
      </c>
      <c r="N151" s="1">
        <v>1</v>
      </c>
      <c r="O151" s="1">
        <v>2.5670999999999999</v>
      </c>
      <c r="P151" s="1">
        <v>0.89570000000000005</v>
      </c>
      <c r="Q151" s="1">
        <v>0.28860000000000002</v>
      </c>
      <c r="R151" s="1">
        <v>-0.30959999999999999</v>
      </c>
      <c r="S151" s="1">
        <v>2.1100000000000001E-2</v>
      </c>
      <c r="T151" s="1">
        <v>2.0108000000000001</v>
      </c>
      <c r="U151" s="1">
        <v>2.9177</v>
      </c>
      <c r="V151" s="1">
        <v>1.8140000000000001</v>
      </c>
      <c r="W151" s="1">
        <v>100.3</v>
      </c>
      <c r="X151" s="1">
        <v>1</v>
      </c>
      <c r="Y151" s="1">
        <v>1.6276999999999999</v>
      </c>
      <c r="AA151" s="1">
        <v>0.86739999999999995</v>
      </c>
      <c r="AB151" s="1">
        <v>-1.1121000000000001</v>
      </c>
      <c r="AC151" s="1">
        <v>0.1095</v>
      </c>
      <c r="AD151" s="1">
        <v>4.0292000000000003</v>
      </c>
      <c r="AE151" s="1">
        <v>5.0999999999999996</v>
      </c>
      <c r="AF151" s="1">
        <v>2.1341999999999999</v>
      </c>
    </row>
    <row r="152" spans="1:32" s="1" customFormat="1" ht="11.25" x14ac:dyDescent="0.2">
      <c r="A152" s="1">
        <v>139</v>
      </c>
      <c r="B152" s="1">
        <v>15</v>
      </c>
      <c r="C152" s="1">
        <v>25</v>
      </c>
      <c r="D152" s="1">
        <v>1</v>
      </c>
      <c r="E152" s="1">
        <v>2.1859000000000002</v>
      </c>
      <c r="F152" s="1">
        <v>0.78580000000000005</v>
      </c>
      <c r="G152" s="1">
        <v>0.37269999999999998</v>
      </c>
      <c r="H152" s="1">
        <v>-0.36859999999999998</v>
      </c>
      <c r="I152" s="1">
        <v>1.4E-3</v>
      </c>
      <c r="J152" s="1">
        <v>3.3828999999999998</v>
      </c>
      <c r="K152" s="1">
        <v>3.8831000000000002</v>
      </c>
      <c r="L152" s="1">
        <v>1.8092999999999999</v>
      </c>
      <c r="M152" s="1">
        <v>-55.1</v>
      </c>
      <c r="N152" s="1">
        <v>1</v>
      </c>
      <c r="O152" s="1">
        <v>2.6084000000000001</v>
      </c>
      <c r="P152" s="1">
        <v>0.88919999999999999</v>
      </c>
      <c r="Q152" s="1">
        <v>0.30919999999999997</v>
      </c>
      <c r="R152" s="1">
        <v>-0.35949999999999999</v>
      </c>
      <c r="S152" s="1">
        <v>2.3E-2</v>
      </c>
      <c r="T152" s="1">
        <v>2.0047000000000001</v>
      </c>
      <c r="U152" s="1">
        <v>2.9224999999999999</v>
      </c>
      <c r="V152" s="1">
        <v>1.6631</v>
      </c>
      <c r="W152" s="1">
        <v>100.3</v>
      </c>
      <c r="X152" s="1">
        <v>1</v>
      </c>
      <c r="Y152" s="1">
        <v>1.7358</v>
      </c>
      <c r="AA152" s="1">
        <v>0.65300000000000002</v>
      </c>
      <c r="AB152" s="1">
        <v>-1.0294000000000001</v>
      </c>
      <c r="AC152" s="1">
        <v>7.1900000000000006E-2</v>
      </c>
      <c r="AD152" s="1">
        <v>3.8226</v>
      </c>
      <c r="AE152" s="1">
        <v>4.9303999999999997</v>
      </c>
      <c r="AF152" s="1">
        <v>1.9518</v>
      </c>
    </row>
    <row r="153" spans="1:32" s="1" customFormat="1" ht="11.25" x14ac:dyDescent="0.2">
      <c r="A153" s="1">
        <v>140</v>
      </c>
      <c r="B153" s="1">
        <v>15</v>
      </c>
      <c r="C153" s="1">
        <v>25</v>
      </c>
      <c r="D153" s="1">
        <v>1</v>
      </c>
      <c r="E153" s="1">
        <v>2.0686</v>
      </c>
      <c r="F153" s="1">
        <v>0.78339999999999999</v>
      </c>
      <c r="G153" s="1">
        <v>0.35339999999999999</v>
      </c>
      <c r="H153" s="1">
        <v>-0.38179999999999997</v>
      </c>
      <c r="I153" s="1">
        <v>1.4E-3</v>
      </c>
      <c r="J153" s="1">
        <v>3.3959999999999999</v>
      </c>
      <c r="K153" s="1">
        <v>3.8222999999999998</v>
      </c>
      <c r="L153" s="1">
        <v>1.8495999999999999</v>
      </c>
      <c r="M153" s="1">
        <v>-54.5</v>
      </c>
      <c r="N153" s="1">
        <v>1</v>
      </c>
      <c r="O153" s="1">
        <v>2.5013000000000001</v>
      </c>
      <c r="P153" s="1">
        <v>0.89470000000000005</v>
      </c>
      <c r="Q153" s="1">
        <v>0.33889999999999998</v>
      </c>
      <c r="R153" s="1">
        <v>-0.69189999999999996</v>
      </c>
      <c r="S153" s="1">
        <v>1.9900000000000001E-2</v>
      </c>
      <c r="T153" s="1">
        <v>1.9358</v>
      </c>
      <c r="U153" s="1">
        <v>2.7806999999999999</v>
      </c>
      <c r="V153" s="1">
        <v>1.6958</v>
      </c>
      <c r="W153" s="1">
        <v>100.3</v>
      </c>
      <c r="X153" s="1">
        <v>1</v>
      </c>
      <c r="Y153" s="1">
        <v>1.6164000000000001</v>
      </c>
      <c r="AA153" s="1">
        <v>0.6895</v>
      </c>
      <c r="AB153" s="1">
        <v>-1.0429999999999999</v>
      </c>
      <c r="AC153" s="1">
        <v>8.9300000000000004E-2</v>
      </c>
      <c r="AD153" s="1">
        <v>3.9175</v>
      </c>
      <c r="AE153" s="1">
        <v>4.8917000000000002</v>
      </c>
      <c r="AF153" s="1">
        <v>2.0003000000000002</v>
      </c>
    </row>
    <row r="154" spans="1:32" s="1" customFormat="1" ht="11.25" x14ac:dyDescent="0.2">
      <c r="A154" s="1">
        <v>141</v>
      </c>
      <c r="B154" s="1">
        <v>1</v>
      </c>
      <c r="C154" s="1">
        <v>25</v>
      </c>
      <c r="D154" s="1">
        <v>1</v>
      </c>
      <c r="E154" s="1">
        <v>1.9751000000000001</v>
      </c>
      <c r="F154" s="1">
        <v>0.77639999999999998</v>
      </c>
      <c r="G154" s="1">
        <v>0.54159999999999997</v>
      </c>
      <c r="H154" s="1">
        <v>-0.50049999999999994</v>
      </c>
      <c r="I154" s="1">
        <v>1.6000000000000001E-3</v>
      </c>
      <c r="J154" s="1">
        <v>3.3201999999999998</v>
      </c>
      <c r="K154" s="1">
        <v>3.7513000000000001</v>
      </c>
      <c r="L154" s="1">
        <v>1.9617</v>
      </c>
      <c r="M154" s="1">
        <v>-55.2</v>
      </c>
      <c r="N154" s="1">
        <v>1</v>
      </c>
      <c r="O154" s="1">
        <v>2.3849999999999998</v>
      </c>
      <c r="P154" s="1">
        <v>0.89680000000000004</v>
      </c>
      <c r="Q154" s="1">
        <v>0.46810000000000002</v>
      </c>
      <c r="R154" s="1">
        <v>-0.46860000000000002</v>
      </c>
      <c r="S154" s="1">
        <v>2.3099999999999999E-2</v>
      </c>
      <c r="T154" s="1">
        <v>1.8905000000000001</v>
      </c>
      <c r="U154" s="1">
        <v>2.6861000000000002</v>
      </c>
      <c r="V154" s="1">
        <v>1.7925</v>
      </c>
      <c r="W154" s="1">
        <v>100.3</v>
      </c>
      <c r="X154" s="1">
        <v>1</v>
      </c>
      <c r="Y154" s="1">
        <v>1.4719</v>
      </c>
      <c r="AA154" s="1">
        <v>0.70720000000000005</v>
      </c>
      <c r="AB154" s="1">
        <v>-0.92090000000000005</v>
      </c>
      <c r="AC154" s="1">
        <v>0.25059999999999999</v>
      </c>
      <c r="AD154" s="1">
        <v>3.9523999999999999</v>
      </c>
      <c r="AE154" s="1">
        <v>4.9715999999999996</v>
      </c>
      <c r="AF154" s="1">
        <v>2.1360999999999999</v>
      </c>
    </row>
  </sheetData>
  <conditionalFormatting sqref="A20">
    <cfRule type="duplicateValues" dxfId="41" priority="22"/>
  </conditionalFormatting>
  <conditionalFormatting sqref="A30">
    <cfRule type="duplicateValues" dxfId="40" priority="21"/>
  </conditionalFormatting>
  <conditionalFormatting sqref="A36">
    <cfRule type="duplicateValues" dxfId="39" priority="20"/>
  </conditionalFormatting>
  <conditionalFormatting sqref="A38">
    <cfRule type="duplicateValues" dxfId="38" priority="19"/>
  </conditionalFormatting>
  <conditionalFormatting sqref="A40">
    <cfRule type="duplicateValues" dxfId="37" priority="18"/>
  </conditionalFormatting>
  <conditionalFormatting sqref="A44">
    <cfRule type="duplicateValues" dxfId="36" priority="17"/>
  </conditionalFormatting>
  <conditionalFormatting sqref="A51">
    <cfRule type="duplicateValues" dxfId="35" priority="16"/>
  </conditionalFormatting>
  <conditionalFormatting sqref="A55">
    <cfRule type="duplicateValues" dxfId="34" priority="15"/>
  </conditionalFormatting>
  <conditionalFormatting sqref="A59">
    <cfRule type="duplicateValues" dxfId="33" priority="14"/>
  </conditionalFormatting>
  <conditionalFormatting sqref="A62">
    <cfRule type="duplicateValues" dxfId="32" priority="23"/>
  </conditionalFormatting>
  <conditionalFormatting sqref="A63">
    <cfRule type="duplicateValues" dxfId="31" priority="26"/>
  </conditionalFormatting>
  <conditionalFormatting sqref="A64:A71 A149:A150 A74:A77 A79:A80 A82:A94 A96:A104 A106:A107 A109:A117 A119:A120 A122:A123 A125:A138 A140:A142 A144 A146:A147 A154">
    <cfRule type="duplicateValues" dxfId="30" priority="25"/>
  </conditionalFormatting>
  <conditionalFormatting sqref="A72:A73">
    <cfRule type="duplicateValues" dxfId="29" priority="13"/>
  </conditionalFormatting>
  <conditionalFormatting sqref="A78">
    <cfRule type="duplicateValues" dxfId="28" priority="12"/>
  </conditionalFormatting>
  <conditionalFormatting sqref="A81">
    <cfRule type="duplicateValues" dxfId="27" priority="11"/>
  </conditionalFormatting>
  <conditionalFormatting sqref="A95">
    <cfRule type="duplicateValues" dxfId="26" priority="10"/>
  </conditionalFormatting>
  <conditionalFormatting sqref="A105">
    <cfRule type="duplicateValues" dxfId="25" priority="9"/>
  </conditionalFormatting>
  <conditionalFormatting sqref="A108">
    <cfRule type="duplicateValues" dxfId="24" priority="8"/>
  </conditionalFormatting>
  <conditionalFormatting sqref="A118">
    <cfRule type="duplicateValues" dxfId="23" priority="7"/>
  </conditionalFormatting>
  <conditionalFormatting sqref="A121">
    <cfRule type="duplicateValues" dxfId="22" priority="6"/>
  </conditionalFormatting>
  <conditionalFormatting sqref="A124">
    <cfRule type="duplicateValues" dxfId="21" priority="5"/>
  </conditionalFormatting>
  <conditionalFormatting sqref="A139">
    <cfRule type="duplicateValues" dxfId="20" priority="4"/>
  </conditionalFormatting>
  <conditionalFormatting sqref="A143">
    <cfRule type="duplicateValues" dxfId="19" priority="3"/>
  </conditionalFormatting>
  <conditionalFormatting sqref="A145">
    <cfRule type="duplicateValues" dxfId="18" priority="2"/>
  </conditionalFormatting>
  <conditionalFormatting sqref="A148">
    <cfRule type="duplicateValues" dxfId="17" priority="24"/>
  </conditionalFormatting>
  <conditionalFormatting sqref="A151:A153">
    <cfRule type="duplicateValues" dxfId="16" priority="1"/>
  </conditionalFormatting>
  <conditionalFormatting sqref="A155:A50084 A19 A21:A29 A31:A35 A37 A39 A41:A43 A45:A50 A52:A54 A56:A58 A60:A61">
    <cfRule type="duplicateValues" dxfId="15" priority="2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C90D-1F92-4C5E-BFF5-5447FF54EE79}">
  <dimension ref="A1:AF154"/>
  <sheetViews>
    <sheetView workbookViewId="0">
      <selection activeCell="A48" sqref="A48"/>
    </sheetView>
  </sheetViews>
  <sheetFormatPr defaultRowHeight="15" x14ac:dyDescent="0.25"/>
  <sheetData>
    <row r="1" spans="1:32" s="1" customFormat="1" ht="11.25" x14ac:dyDescent="0.2">
      <c r="C1" s="1" t="s">
        <v>87</v>
      </c>
    </row>
    <row r="2" spans="1:32" s="1" customFormat="1" ht="11.25" x14ac:dyDescent="0.2"/>
    <row r="3" spans="1:32" s="2" customFormat="1" ht="11.25" x14ac:dyDescent="0.2">
      <c r="A3" s="2" t="s">
        <v>1</v>
      </c>
      <c r="B3" s="2" t="s">
        <v>88</v>
      </c>
      <c r="D3" s="2" t="s">
        <v>36</v>
      </c>
      <c r="E3" s="2" t="s">
        <v>35</v>
      </c>
    </row>
    <row r="4" spans="1:32" s="2" customFormat="1" ht="11.25" x14ac:dyDescent="0.2">
      <c r="A4" s="2" t="s">
        <v>2</v>
      </c>
      <c r="B4" s="2" t="s">
        <v>42</v>
      </c>
      <c r="D4" s="2" t="s">
        <v>34</v>
      </c>
      <c r="E4" s="2" t="s">
        <v>89</v>
      </c>
    </row>
    <row r="5" spans="1:32" s="2" customFormat="1" ht="11.25" x14ac:dyDescent="0.2">
      <c r="A5" s="2" t="s">
        <v>3</v>
      </c>
      <c r="B5" s="2" t="s">
        <v>42</v>
      </c>
      <c r="D5" s="2" t="s">
        <v>33</v>
      </c>
      <c r="E5" s="2">
        <f>COUNT(B19:B154)</f>
        <v>136</v>
      </c>
    </row>
    <row r="6" spans="1:32" s="2" customFormat="1" ht="11.25" x14ac:dyDescent="0.2">
      <c r="A6" s="2" t="s">
        <v>4</v>
      </c>
      <c r="B6" s="2" t="s">
        <v>44</v>
      </c>
      <c r="D6" s="2" t="s">
        <v>32</v>
      </c>
      <c r="E6" s="2">
        <f>SUMIF(B19:B154,1)</f>
        <v>136</v>
      </c>
    </row>
    <row r="7" spans="1:32" s="2" customFormat="1" ht="11.25" x14ac:dyDescent="0.2">
      <c r="A7" s="2" t="s">
        <v>5</v>
      </c>
      <c r="B7" s="3" t="s">
        <v>45</v>
      </c>
      <c r="D7" s="2" t="s">
        <v>31</v>
      </c>
      <c r="E7" s="2">
        <f>E5-E6</f>
        <v>0</v>
      </c>
    </row>
    <row r="8" spans="1:32" s="1" customFormat="1" ht="11.25" x14ac:dyDescent="0.2"/>
    <row r="9" spans="1:32" s="1" customFormat="1" ht="11.25" x14ac:dyDescent="0.2"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54</v>
      </c>
      <c r="L9" s="1" t="s">
        <v>55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54</v>
      </c>
      <c r="V9" s="1" t="s">
        <v>55</v>
      </c>
      <c r="W9" s="1" t="s">
        <v>46</v>
      </c>
      <c r="X9" s="1" t="s">
        <v>47</v>
      </c>
      <c r="Y9" s="1" t="s">
        <v>48</v>
      </c>
      <c r="Z9" s="4" t="s">
        <v>49</v>
      </c>
      <c r="AA9" s="1" t="s">
        <v>50</v>
      </c>
      <c r="AB9" s="1" t="s">
        <v>51</v>
      </c>
      <c r="AC9" s="1" t="s">
        <v>52</v>
      </c>
      <c r="AD9" s="1" t="s">
        <v>53</v>
      </c>
      <c r="AE9" s="1" t="s">
        <v>54</v>
      </c>
      <c r="AF9" s="1" t="s">
        <v>55</v>
      </c>
    </row>
    <row r="10" spans="1:32" s="1" customFormat="1" ht="11.25" x14ac:dyDescent="0.2">
      <c r="A10" s="2" t="s">
        <v>6</v>
      </c>
      <c r="B10" s="2" t="s">
        <v>7</v>
      </c>
      <c r="C10" s="1" t="s">
        <v>56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39</v>
      </c>
      <c r="I10" s="1" t="s">
        <v>12</v>
      </c>
      <c r="J10" s="1" t="s">
        <v>13</v>
      </c>
      <c r="K10" s="1" t="s">
        <v>30</v>
      </c>
      <c r="L10" s="1" t="s">
        <v>29</v>
      </c>
      <c r="M10" s="1" t="s">
        <v>38</v>
      </c>
      <c r="N10" s="1" t="s">
        <v>28</v>
      </c>
      <c r="O10" s="1" t="s">
        <v>27</v>
      </c>
      <c r="P10" s="1" t="s">
        <v>26</v>
      </c>
      <c r="Q10" s="1" t="s">
        <v>25</v>
      </c>
      <c r="R10" s="1" t="s">
        <v>37</v>
      </c>
      <c r="S10" s="1" t="s">
        <v>24</v>
      </c>
      <c r="T10" s="1" t="s">
        <v>23</v>
      </c>
      <c r="U10" s="1" t="s">
        <v>22</v>
      </c>
      <c r="V10" s="1" t="s">
        <v>21</v>
      </c>
      <c r="W10" s="1" t="s">
        <v>57</v>
      </c>
      <c r="X10" s="1" t="s">
        <v>58</v>
      </c>
      <c r="Y10" s="1" t="s">
        <v>59</v>
      </c>
      <c r="Z10" s="4" t="s">
        <v>26</v>
      </c>
      <c r="AA10" s="1" t="s">
        <v>60</v>
      </c>
      <c r="AB10" s="1" t="s">
        <v>61</v>
      </c>
      <c r="AC10" s="1" t="s">
        <v>62</v>
      </c>
      <c r="AD10" s="1" t="s">
        <v>63</v>
      </c>
      <c r="AE10" s="1" t="s">
        <v>64</v>
      </c>
      <c r="AF10" s="1" t="s">
        <v>65</v>
      </c>
    </row>
    <row r="11" spans="1:32" s="1" customFormat="1" ht="11.25" x14ac:dyDescent="0.2">
      <c r="D11" s="1" t="s">
        <v>66</v>
      </c>
      <c r="E11" s="1" t="s">
        <v>67</v>
      </c>
      <c r="F11" s="1" t="s">
        <v>68</v>
      </c>
      <c r="G11" s="1" t="s">
        <v>69</v>
      </c>
      <c r="H11" s="1" t="s">
        <v>69</v>
      </c>
      <c r="I11" s="1" t="s">
        <v>70</v>
      </c>
      <c r="J11" s="1" t="s">
        <v>71</v>
      </c>
      <c r="K11" s="1" t="s">
        <v>72</v>
      </c>
      <c r="N11" s="1" t="s">
        <v>73</v>
      </c>
      <c r="O11" s="1" t="s">
        <v>90</v>
      </c>
      <c r="P11" s="1" t="s">
        <v>68</v>
      </c>
      <c r="Q11" s="1" t="s">
        <v>69</v>
      </c>
      <c r="R11" s="1" t="s">
        <v>69</v>
      </c>
      <c r="S11" s="1" t="s">
        <v>70</v>
      </c>
      <c r="T11" s="1" t="s">
        <v>75</v>
      </c>
      <c r="U11" s="1" t="s">
        <v>76</v>
      </c>
      <c r="X11" s="1" t="s">
        <v>73</v>
      </c>
      <c r="Y11" s="1" t="s">
        <v>90</v>
      </c>
      <c r="Z11" s="4" t="s">
        <v>68</v>
      </c>
      <c r="AA11" s="1" t="s">
        <v>69</v>
      </c>
      <c r="AB11" s="1" t="s">
        <v>69</v>
      </c>
      <c r="AC11" s="1" t="s">
        <v>70</v>
      </c>
      <c r="AD11" s="1" t="s">
        <v>71</v>
      </c>
      <c r="AE11" s="1" t="s">
        <v>72</v>
      </c>
    </row>
    <row r="12" spans="1:32" s="1" customFormat="1" ht="11.25" x14ac:dyDescent="0.2">
      <c r="C12" s="1" t="s">
        <v>77</v>
      </c>
      <c r="D12" s="1" t="s">
        <v>78</v>
      </c>
      <c r="E12" s="1" t="s">
        <v>79</v>
      </c>
      <c r="F12" s="1" t="s">
        <v>79</v>
      </c>
      <c r="G12" s="1" t="s">
        <v>80</v>
      </c>
      <c r="H12" s="1" t="s">
        <v>80</v>
      </c>
      <c r="I12" s="1" t="s">
        <v>0</v>
      </c>
      <c r="J12" s="1" t="s">
        <v>81</v>
      </c>
      <c r="K12" s="1" t="s">
        <v>81</v>
      </c>
      <c r="L12" s="1" t="s">
        <v>82</v>
      </c>
      <c r="M12" s="1" t="s">
        <v>77</v>
      </c>
      <c r="N12" s="1" t="s">
        <v>78</v>
      </c>
      <c r="O12" s="1" t="s">
        <v>79</v>
      </c>
      <c r="P12" s="1" t="s">
        <v>79</v>
      </c>
      <c r="Q12" s="1" t="s">
        <v>80</v>
      </c>
      <c r="R12" s="1" t="s">
        <v>80</v>
      </c>
      <c r="S12" s="1" t="s">
        <v>0</v>
      </c>
      <c r="T12" s="1" t="s">
        <v>81</v>
      </c>
      <c r="U12" s="1" t="s">
        <v>81</v>
      </c>
      <c r="V12" s="1" t="s">
        <v>82</v>
      </c>
      <c r="W12" s="1" t="s">
        <v>77</v>
      </c>
      <c r="X12" s="1" t="s">
        <v>78</v>
      </c>
      <c r="Y12" s="1" t="s">
        <v>79</v>
      </c>
      <c r="Z12" s="4" t="s">
        <v>79</v>
      </c>
      <c r="AA12" s="1" t="s">
        <v>80</v>
      </c>
      <c r="AB12" s="1" t="s">
        <v>80</v>
      </c>
      <c r="AC12" s="1" t="s">
        <v>0</v>
      </c>
      <c r="AD12" s="1" t="s">
        <v>81</v>
      </c>
      <c r="AE12" s="1" t="s">
        <v>81</v>
      </c>
      <c r="AF12" s="1" t="s">
        <v>82</v>
      </c>
    </row>
    <row r="13" spans="1:32" s="1" customFormat="1" ht="11.25" x14ac:dyDescent="0.2">
      <c r="A13" s="2" t="s">
        <v>14</v>
      </c>
      <c r="C13" s="1">
        <v>28</v>
      </c>
      <c r="D13" s="1">
        <v>1.5</v>
      </c>
      <c r="E13" s="1">
        <v>2.5</v>
      </c>
      <c r="F13" s="1">
        <v>1.2</v>
      </c>
      <c r="G13" s="1">
        <v>100</v>
      </c>
      <c r="H13" s="1">
        <v>100</v>
      </c>
      <c r="I13" s="1">
        <v>1</v>
      </c>
      <c r="J13" s="1">
        <v>3.8</v>
      </c>
      <c r="K13" s="1">
        <v>5</v>
      </c>
      <c r="L13" s="1">
        <v>4.9000000000000004</v>
      </c>
      <c r="M13" s="1">
        <v>-52</v>
      </c>
      <c r="N13" s="1">
        <v>1.5</v>
      </c>
      <c r="O13" s="1">
        <v>3.1</v>
      </c>
      <c r="P13" s="1">
        <v>1.2</v>
      </c>
      <c r="Q13" s="1">
        <v>100</v>
      </c>
      <c r="R13" s="1">
        <v>100</v>
      </c>
      <c r="S13" s="1">
        <v>1</v>
      </c>
      <c r="T13" s="1">
        <v>3.8</v>
      </c>
      <c r="U13" s="1">
        <v>5</v>
      </c>
      <c r="V13" s="1">
        <v>4.9000000000000004</v>
      </c>
      <c r="W13" s="1">
        <v>103</v>
      </c>
      <c r="X13" s="1">
        <v>1.5</v>
      </c>
      <c r="Y13" s="1">
        <v>2.5</v>
      </c>
      <c r="Z13" s="4">
        <v>1.2</v>
      </c>
      <c r="AA13" s="1">
        <v>100</v>
      </c>
      <c r="AB13" s="1">
        <v>100</v>
      </c>
      <c r="AC13" s="1">
        <v>50</v>
      </c>
      <c r="AD13" s="1">
        <v>7</v>
      </c>
      <c r="AE13" s="1">
        <v>7</v>
      </c>
      <c r="AF13" s="1">
        <v>4.9000000000000004</v>
      </c>
    </row>
    <row r="14" spans="1:32" s="1" customFormat="1" ht="11.25" x14ac:dyDescent="0.2">
      <c r="A14" s="2" t="s">
        <v>16</v>
      </c>
      <c r="C14" s="1">
        <v>22</v>
      </c>
      <c r="D14" s="1">
        <v>0.5</v>
      </c>
      <c r="E14" s="1">
        <v>1.5</v>
      </c>
      <c r="F14" s="1" t="s">
        <v>15</v>
      </c>
      <c r="G14" s="1">
        <v>-100</v>
      </c>
      <c r="H14" s="1">
        <v>-100</v>
      </c>
      <c r="I14" s="1">
        <v>0</v>
      </c>
      <c r="J14" s="1">
        <v>0</v>
      </c>
      <c r="K14" s="1">
        <v>0</v>
      </c>
      <c r="L14" s="1">
        <v>0.9</v>
      </c>
      <c r="M14" s="1">
        <v>-58</v>
      </c>
      <c r="N14" s="1">
        <v>0.5</v>
      </c>
      <c r="O14" s="1">
        <v>1.8</v>
      </c>
      <c r="P14" s="1" t="s">
        <v>15</v>
      </c>
      <c r="Q14" s="1">
        <v>-100</v>
      </c>
      <c r="R14" s="1">
        <v>-100</v>
      </c>
      <c r="S14" s="1">
        <v>0</v>
      </c>
      <c r="T14" s="1">
        <v>0</v>
      </c>
      <c r="U14" s="1">
        <v>0</v>
      </c>
      <c r="V14" s="1">
        <v>0.9</v>
      </c>
      <c r="W14" s="1">
        <v>97</v>
      </c>
      <c r="X14" s="1">
        <v>0.5</v>
      </c>
      <c r="Y14" s="1">
        <v>1</v>
      </c>
      <c r="Z14" s="4" t="s">
        <v>15</v>
      </c>
      <c r="AA14" s="1">
        <v>-100</v>
      </c>
      <c r="AB14" s="1">
        <v>-100</v>
      </c>
      <c r="AC14" s="1">
        <v>0</v>
      </c>
      <c r="AD14" s="1">
        <v>0</v>
      </c>
      <c r="AE14" s="1">
        <v>0</v>
      </c>
      <c r="AF14" s="1">
        <v>0.9</v>
      </c>
    </row>
    <row r="15" spans="1:32" s="2" customFormat="1" ht="11.25" x14ac:dyDescent="0.2">
      <c r="A15" s="2" t="s">
        <v>17</v>
      </c>
      <c r="C15" s="2">
        <f t="shared" ref="C15:AF15" si="0">MIN(C19:C154)</f>
        <v>24.7</v>
      </c>
      <c r="D15" s="2">
        <f t="shared" si="0"/>
        <v>1</v>
      </c>
      <c r="E15" s="2">
        <f t="shared" si="0"/>
        <v>1.9137</v>
      </c>
      <c r="F15" s="2">
        <f t="shared" si="0"/>
        <v>0.77380000000000004</v>
      </c>
      <c r="G15" s="2">
        <f t="shared" si="0"/>
        <v>0.34189999999999998</v>
      </c>
      <c r="H15" s="2">
        <f t="shared" si="0"/>
        <v>-0.66839999999999999</v>
      </c>
      <c r="I15" s="2">
        <f t="shared" si="0"/>
        <v>4.0000000000000002E-4</v>
      </c>
      <c r="J15" s="2">
        <f t="shared" si="0"/>
        <v>3.2185000000000001</v>
      </c>
      <c r="K15" s="2">
        <f t="shared" si="0"/>
        <v>3.6783000000000001</v>
      </c>
      <c r="L15" s="2">
        <f t="shared" si="0"/>
        <v>1.663</v>
      </c>
      <c r="M15" s="2">
        <f t="shared" si="0"/>
        <v>-56.2</v>
      </c>
      <c r="N15" s="2">
        <f t="shared" si="0"/>
        <v>1</v>
      </c>
      <c r="O15" s="2">
        <f t="shared" si="0"/>
        <v>2.3100999999999998</v>
      </c>
      <c r="P15" s="2">
        <f t="shared" si="0"/>
        <v>0.88790000000000002</v>
      </c>
      <c r="Q15" s="2">
        <f t="shared" si="0"/>
        <v>0.37059999999999998</v>
      </c>
      <c r="R15" s="2">
        <f t="shared" si="0"/>
        <v>-23.721499999999999</v>
      </c>
      <c r="S15" s="2">
        <f t="shared" si="0"/>
        <v>1E-4</v>
      </c>
      <c r="T15" s="2">
        <f t="shared" si="0"/>
        <v>1.7890999999999999</v>
      </c>
      <c r="U15" s="2">
        <f t="shared" si="0"/>
        <v>2.6000999999999999</v>
      </c>
      <c r="V15" s="2">
        <f t="shared" si="0"/>
        <v>1.5243</v>
      </c>
      <c r="W15" s="2">
        <f t="shared" si="0"/>
        <v>99.9</v>
      </c>
      <c r="X15" s="2">
        <f t="shared" si="0"/>
        <v>1</v>
      </c>
      <c r="Y15" s="2">
        <f t="shared" si="0"/>
        <v>1.4285000000000001</v>
      </c>
      <c r="AA15" s="2">
        <f t="shared" si="0"/>
        <v>0.39950000000000002</v>
      </c>
      <c r="AB15" s="2">
        <f t="shared" si="0"/>
        <v>-1.077</v>
      </c>
      <c r="AC15" s="2">
        <f t="shared" si="0"/>
        <v>7.0400000000000004E-2</v>
      </c>
      <c r="AD15" s="2">
        <f t="shared" si="0"/>
        <v>3.7054999999999998</v>
      </c>
      <c r="AE15" s="2">
        <f t="shared" si="0"/>
        <v>4.7946</v>
      </c>
      <c r="AF15" s="2">
        <f t="shared" si="0"/>
        <v>1.8167</v>
      </c>
    </row>
    <row r="16" spans="1:32" s="2" customFormat="1" ht="11.25" x14ac:dyDescent="0.2">
      <c r="A16" s="2" t="s">
        <v>18</v>
      </c>
      <c r="C16" s="2">
        <f t="shared" ref="C16:AF16" si="1">MAX(C19:C154)</f>
        <v>25.2</v>
      </c>
      <c r="D16" s="2">
        <f t="shared" si="1"/>
        <v>1</v>
      </c>
      <c r="E16" s="2">
        <f t="shared" si="1"/>
        <v>2.3010999999999999</v>
      </c>
      <c r="F16" s="2">
        <f t="shared" si="1"/>
        <v>0.7903</v>
      </c>
      <c r="G16" s="2">
        <f t="shared" si="1"/>
        <v>0.58220000000000005</v>
      </c>
      <c r="H16" s="2">
        <f t="shared" si="1"/>
        <v>-0.41339999999999999</v>
      </c>
      <c r="I16" s="2">
        <f t="shared" si="1"/>
        <v>2.0999999999999999E-3</v>
      </c>
      <c r="J16" s="2">
        <f t="shared" si="1"/>
        <v>3.5750999999999999</v>
      </c>
      <c r="K16" s="2">
        <f t="shared" si="1"/>
        <v>4.4382000000000001</v>
      </c>
      <c r="L16" s="2">
        <f t="shared" si="1"/>
        <v>2.3327</v>
      </c>
      <c r="M16" s="2">
        <f t="shared" si="1"/>
        <v>-54.6</v>
      </c>
      <c r="N16" s="2">
        <f t="shared" si="1"/>
        <v>1</v>
      </c>
      <c r="O16" s="2">
        <f t="shared" si="1"/>
        <v>2.7884000000000002</v>
      </c>
      <c r="P16" s="2">
        <f t="shared" si="1"/>
        <v>0.90410000000000001</v>
      </c>
      <c r="Q16" s="2">
        <f t="shared" si="1"/>
        <v>3.4542999999999999</v>
      </c>
      <c r="R16" s="2">
        <f t="shared" si="1"/>
        <v>-0.44469999999999998</v>
      </c>
      <c r="S16" s="2">
        <f t="shared" si="1"/>
        <v>2.2200000000000001E-2</v>
      </c>
      <c r="T16" s="2">
        <f t="shared" si="1"/>
        <v>2.1150000000000002</v>
      </c>
      <c r="U16" s="2">
        <f t="shared" si="1"/>
        <v>3.3589000000000002</v>
      </c>
      <c r="V16" s="2">
        <f t="shared" si="1"/>
        <v>2.1631</v>
      </c>
      <c r="W16" s="2">
        <f t="shared" si="1"/>
        <v>101.7</v>
      </c>
      <c r="X16" s="2">
        <f t="shared" si="1"/>
        <v>1</v>
      </c>
      <c r="Y16" s="2">
        <f t="shared" si="1"/>
        <v>1.7447999999999999</v>
      </c>
      <c r="AA16" s="2">
        <f t="shared" si="1"/>
        <v>0.99</v>
      </c>
      <c r="AB16" s="2">
        <f t="shared" si="1"/>
        <v>-0.53969999999999996</v>
      </c>
      <c r="AC16" s="2">
        <f t="shared" si="1"/>
        <v>0.2324</v>
      </c>
      <c r="AD16" s="2">
        <f t="shared" si="1"/>
        <v>4.1989000000000001</v>
      </c>
      <c r="AE16" s="2">
        <f t="shared" si="1"/>
        <v>5.6957000000000004</v>
      </c>
      <c r="AF16" s="2">
        <f t="shared" si="1"/>
        <v>2.5133999999999999</v>
      </c>
    </row>
    <row r="17" spans="1:32" s="2" customFormat="1" ht="11.25" x14ac:dyDescent="0.2">
      <c r="A17" s="2" t="s">
        <v>19</v>
      </c>
      <c r="C17" s="2">
        <f t="shared" ref="C17:AF17" si="2">AVERAGE(C19:C154)</f>
        <v>24.990441176470597</v>
      </c>
      <c r="D17" s="2">
        <f t="shared" si="2"/>
        <v>1</v>
      </c>
      <c r="E17" s="2">
        <f t="shared" si="2"/>
        <v>2.022368382352941</v>
      </c>
      <c r="F17" s="2">
        <f t="shared" si="2"/>
        <v>0.77957352941176439</v>
      </c>
      <c r="G17" s="2">
        <f t="shared" si="2"/>
        <v>0.48630294117647055</v>
      </c>
      <c r="H17" s="2">
        <f t="shared" si="2"/>
        <v>-0.56182867647058798</v>
      </c>
      <c r="I17" s="2">
        <f t="shared" si="2"/>
        <v>1.4860294117647068E-3</v>
      </c>
      <c r="J17" s="2">
        <f t="shared" si="2"/>
        <v>3.3890338235294126</v>
      </c>
      <c r="K17" s="2">
        <f t="shared" si="2"/>
        <v>3.8550455882352934</v>
      </c>
      <c r="L17" s="2">
        <f t="shared" si="2"/>
        <v>2.0509411764705874</v>
      </c>
      <c r="M17" s="2">
        <f t="shared" si="2"/>
        <v>-55.23749999999999</v>
      </c>
      <c r="N17" s="2">
        <f t="shared" si="2"/>
        <v>1</v>
      </c>
      <c r="O17" s="2">
        <f t="shared" si="2"/>
        <v>2.4469073529411771</v>
      </c>
      <c r="P17" s="2">
        <f t="shared" si="2"/>
        <v>0.89616838235294116</v>
      </c>
      <c r="Q17" s="2">
        <f t="shared" si="2"/>
        <v>0.70832352941176502</v>
      </c>
      <c r="R17" s="2">
        <f t="shared" si="2"/>
        <v>-1.6975433823529413</v>
      </c>
      <c r="S17" s="2">
        <f t="shared" si="2"/>
        <v>1.2957352941176465E-2</v>
      </c>
      <c r="T17" s="2">
        <f t="shared" si="2"/>
        <v>1.9302058823529411</v>
      </c>
      <c r="U17" s="2">
        <f t="shared" si="2"/>
        <v>2.7732485294117639</v>
      </c>
      <c r="V17" s="2">
        <f t="shared" si="2"/>
        <v>1.8862169117647056</v>
      </c>
      <c r="W17" s="2">
        <f t="shared" si="2"/>
        <v>100.54117647058825</v>
      </c>
      <c r="X17" s="2">
        <f t="shared" si="2"/>
        <v>1</v>
      </c>
      <c r="Y17" s="2">
        <f t="shared" si="2"/>
        <v>1.5300485294117645</v>
      </c>
      <c r="AA17" s="2">
        <f t="shared" si="2"/>
        <v>0.56248382352941162</v>
      </c>
      <c r="AB17" s="2">
        <f t="shared" si="2"/>
        <v>-0.67584411764705909</v>
      </c>
      <c r="AC17" s="2">
        <f t="shared" si="2"/>
        <v>0.16802352941176474</v>
      </c>
      <c r="AD17" s="2">
        <f t="shared" si="2"/>
        <v>3.9929389705882339</v>
      </c>
      <c r="AE17" s="2">
        <f t="shared" si="2"/>
        <v>5.0323632352941194</v>
      </c>
      <c r="AF17" s="2">
        <f t="shared" si="2"/>
        <v>2.2213897058823537</v>
      </c>
    </row>
    <row r="18" spans="1:32" s="2" customFormat="1" ht="11.25" x14ac:dyDescent="0.2">
      <c r="A18" s="2" t="s">
        <v>20</v>
      </c>
      <c r="C18" s="2">
        <f t="shared" ref="C18:AF18" si="3">STDEV(C19:C154)</f>
        <v>8.5961814494567079E-2</v>
      </c>
      <c r="D18" s="2">
        <f t="shared" si="3"/>
        <v>0</v>
      </c>
      <c r="E18" s="2">
        <f t="shared" si="3"/>
        <v>7.749444587238194E-2</v>
      </c>
      <c r="F18" s="2">
        <f t="shared" si="3"/>
        <v>3.8955479868238133E-3</v>
      </c>
      <c r="G18" s="2">
        <f t="shared" si="3"/>
        <v>5.7587561595753983E-2</v>
      </c>
      <c r="H18" s="2">
        <f t="shared" si="3"/>
        <v>5.8837530109163934E-2</v>
      </c>
      <c r="I18" s="2">
        <f t="shared" si="3"/>
        <v>2.1914743696548308E-4</v>
      </c>
      <c r="J18" s="2">
        <f t="shared" si="3"/>
        <v>6.5393005878801175E-2</v>
      </c>
      <c r="K18" s="2">
        <f t="shared" si="3"/>
        <v>0.12951414100835817</v>
      </c>
      <c r="L18" s="2">
        <f t="shared" si="3"/>
        <v>0.17206934927117512</v>
      </c>
      <c r="M18" s="2">
        <f t="shared" si="3"/>
        <v>0.17968594000933069</v>
      </c>
      <c r="N18" s="2">
        <f t="shared" si="3"/>
        <v>0</v>
      </c>
      <c r="O18" s="2">
        <f t="shared" si="3"/>
        <v>9.3378633159406227E-2</v>
      </c>
      <c r="P18" s="2">
        <f t="shared" si="3"/>
        <v>2.9384224088315294E-3</v>
      </c>
      <c r="Q18" s="2">
        <f t="shared" si="3"/>
        <v>0.41008259804586128</v>
      </c>
      <c r="R18" s="2">
        <f t="shared" si="3"/>
        <v>3.098593006336722</v>
      </c>
      <c r="S18" s="2">
        <f t="shared" si="3"/>
        <v>5.8297148440896156E-3</v>
      </c>
      <c r="T18" s="2">
        <f t="shared" si="3"/>
        <v>5.122731876024586E-2</v>
      </c>
      <c r="U18" s="2">
        <f t="shared" si="3"/>
        <v>0.13255681939527564</v>
      </c>
      <c r="V18" s="2">
        <f t="shared" si="3"/>
        <v>0.16660622084119414</v>
      </c>
      <c r="W18" s="2">
        <f t="shared" si="3"/>
        <v>0.28191687459782638</v>
      </c>
      <c r="X18" s="2">
        <f t="shared" si="3"/>
        <v>0</v>
      </c>
      <c r="Y18" s="2">
        <f t="shared" si="3"/>
        <v>6.3679031940918049E-2</v>
      </c>
      <c r="AA18" s="2">
        <f t="shared" si="3"/>
        <v>6.7058561715464482E-2</v>
      </c>
      <c r="AB18" s="2">
        <f t="shared" si="3"/>
        <v>7.4154799814386677E-2</v>
      </c>
      <c r="AC18" s="2">
        <f t="shared" si="3"/>
        <v>2.1745944654864853E-2</v>
      </c>
      <c r="AD18" s="2">
        <f t="shared" si="3"/>
        <v>7.6682630389005982E-2</v>
      </c>
      <c r="AE18" s="2">
        <f t="shared" si="3"/>
        <v>0.13356247189088521</v>
      </c>
      <c r="AF18" s="2">
        <f t="shared" si="3"/>
        <v>0.17956264408975897</v>
      </c>
    </row>
    <row r="19" spans="1:32" s="1" customFormat="1" ht="11.25" x14ac:dyDescent="0.2">
      <c r="A19" s="1">
        <v>1</v>
      </c>
      <c r="B19" s="1">
        <v>1</v>
      </c>
      <c r="C19" s="1">
        <v>25</v>
      </c>
      <c r="D19" s="1">
        <v>1</v>
      </c>
      <c r="E19" s="1">
        <v>1.9321999999999999</v>
      </c>
      <c r="F19" s="1">
        <v>0.77569999999999995</v>
      </c>
      <c r="G19" s="1">
        <v>0.44969999999999999</v>
      </c>
      <c r="H19" s="1">
        <v>-0.48399999999999999</v>
      </c>
      <c r="I19" s="1">
        <v>1.1000000000000001E-3</v>
      </c>
      <c r="J19" s="1">
        <v>3.3898000000000001</v>
      </c>
      <c r="K19" s="1">
        <v>3.7065999999999999</v>
      </c>
      <c r="L19" s="1">
        <v>2.1957</v>
      </c>
      <c r="M19" s="1">
        <v>-55.2</v>
      </c>
      <c r="N19" s="1">
        <v>1</v>
      </c>
      <c r="O19" s="1">
        <v>2.3618999999999999</v>
      </c>
      <c r="P19" s="1">
        <v>0.89470000000000005</v>
      </c>
      <c r="Q19" s="1">
        <v>0.45100000000000001</v>
      </c>
      <c r="R19" s="1">
        <v>-0.47270000000000001</v>
      </c>
      <c r="S19" s="1">
        <v>2.1299999999999999E-2</v>
      </c>
      <c r="T19" s="1">
        <v>1.9829000000000001</v>
      </c>
      <c r="U19" s="1">
        <v>2.71</v>
      </c>
      <c r="V19" s="1">
        <v>2.0209999999999999</v>
      </c>
      <c r="W19" s="1">
        <v>100.6</v>
      </c>
      <c r="X19" s="1">
        <v>1</v>
      </c>
      <c r="Y19" s="1">
        <v>1.4294</v>
      </c>
      <c r="AA19" s="1">
        <v>0.48830000000000001</v>
      </c>
      <c r="AB19" s="1">
        <v>-0.6038</v>
      </c>
      <c r="AC19" s="1">
        <v>0.23039999999999999</v>
      </c>
      <c r="AD19" s="1">
        <v>3.8018999999999998</v>
      </c>
      <c r="AE19" s="1">
        <v>4.8395000000000001</v>
      </c>
      <c r="AF19" s="1">
        <v>2.3773</v>
      </c>
    </row>
    <row r="20" spans="1:32" s="1" customFormat="1" ht="11.25" x14ac:dyDescent="0.2">
      <c r="A20" s="1">
        <v>2</v>
      </c>
      <c r="B20" s="1">
        <v>1</v>
      </c>
      <c r="C20" s="1">
        <v>25</v>
      </c>
      <c r="D20" s="1">
        <v>1</v>
      </c>
      <c r="E20" s="1">
        <v>2.0882000000000001</v>
      </c>
      <c r="F20" s="1">
        <v>0.78200000000000003</v>
      </c>
      <c r="G20" s="1">
        <v>0.43519999999999998</v>
      </c>
      <c r="H20" s="1">
        <v>-0.50629999999999997</v>
      </c>
      <c r="I20" s="1">
        <v>4.0000000000000002E-4</v>
      </c>
      <c r="J20" s="1">
        <v>3.3788</v>
      </c>
      <c r="K20" s="1">
        <v>3.8235999999999999</v>
      </c>
      <c r="L20" s="1">
        <v>1.9737</v>
      </c>
      <c r="M20" s="1">
        <v>-55.2</v>
      </c>
      <c r="N20" s="1">
        <v>1</v>
      </c>
      <c r="O20" s="1">
        <v>2.5356000000000001</v>
      </c>
      <c r="P20" s="1">
        <v>0.89849999999999997</v>
      </c>
      <c r="Q20" s="1">
        <v>0.42070000000000002</v>
      </c>
      <c r="R20" s="1">
        <v>-0.44469999999999998</v>
      </c>
      <c r="S20" s="1">
        <v>1.8800000000000001E-2</v>
      </c>
      <c r="T20" s="1">
        <v>1.9193</v>
      </c>
      <c r="U20" s="1">
        <v>2.7572999999999999</v>
      </c>
      <c r="V20" s="1">
        <v>1.8047</v>
      </c>
      <c r="W20" s="1">
        <v>100.7</v>
      </c>
      <c r="X20" s="1">
        <v>1</v>
      </c>
      <c r="Y20" s="1">
        <v>1.5667</v>
      </c>
      <c r="AA20" s="1">
        <v>0.51770000000000005</v>
      </c>
      <c r="AB20" s="1">
        <v>-0.55710000000000004</v>
      </c>
      <c r="AC20" s="1">
        <v>0.1721</v>
      </c>
      <c r="AD20" s="1">
        <v>4.0385</v>
      </c>
      <c r="AE20" s="1">
        <v>5.0507</v>
      </c>
      <c r="AF20" s="1">
        <v>2.1478999999999999</v>
      </c>
    </row>
    <row r="21" spans="1:32" s="1" customFormat="1" ht="11.25" x14ac:dyDescent="0.2">
      <c r="A21" s="1">
        <v>3</v>
      </c>
      <c r="B21" s="1">
        <v>1</v>
      </c>
      <c r="C21" s="1">
        <v>24.7</v>
      </c>
      <c r="D21" s="1">
        <v>1</v>
      </c>
      <c r="E21" s="1">
        <v>1.9928999999999999</v>
      </c>
      <c r="F21" s="1">
        <v>0.77969999999999995</v>
      </c>
      <c r="G21" s="1">
        <v>0.34710000000000002</v>
      </c>
      <c r="H21" s="1">
        <v>-0.43</v>
      </c>
      <c r="I21" s="1">
        <v>1.1000000000000001E-3</v>
      </c>
      <c r="J21" s="1">
        <v>3.3151999999999999</v>
      </c>
      <c r="K21" s="1">
        <v>3.7101000000000002</v>
      </c>
      <c r="L21" s="1">
        <v>1.9513</v>
      </c>
      <c r="M21" s="1">
        <v>-55.2</v>
      </c>
      <c r="N21" s="1">
        <v>1</v>
      </c>
      <c r="O21" s="1">
        <v>2.4102999999999999</v>
      </c>
      <c r="P21" s="1">
        <v>0.89670000000000005</v>
      </c>
      <c r="Q21" s="1">
        <v>0.46850000000000003</v>
      </c>
      <c r="R21" s="1">
        <v>-0.60819999999999996</v>
      </c>
      <c r="S21" s="1">
        <v>1.9300000000000001E-2</v>
      </c>
      <c r="T21" s="1">
        <v>1.9354</v>
      </c>
      <c r="U21" s="1">
        <v>2.6366000000000001</v>
      </c>
      <c r="V21" s="1">
        <v>1.7775000000000001</v>
      </c>
      <c r="W21" s="1">
        <v>100.4</v>
      </c>
      <c r="X21" s="1">
        <v>1</v>
      </c>
      <c r="Y21" s="1">
        <v>1.5061</v>
      </c>
      <c r="AA21" s="1">
        <v>0.4945</v>
      </c>
      <c r="AB21" s="1">
        <v>-0.624</v>
      </c>
      <c r="AC21" s="1">
        <v>0.16370000000000001</v>
      </c>
      <c r="AD21" s="1">
        <v>3.9298000000000002</v>
      </c>
      <c r="AE21" s="1">
        <v>4.9048999999999996</v>
      </c>
      <c r="AF21" s="1">
        <v>2.1168</v>
      </c>
    </row>
    <row r="22" spans="1:32" s="1" customFormat="1" ht="11.25" x14ac:dyDescent="0.2">
      <c r="A22" s="1">
        <v>4</v>
      </c>
      <c r="B22" s="1">
        <v>1</v>
      </c>
      <c r="C22" s="1">
        <v>24.9</v>
      </c>
      <c r="D22" s="1">
        <v>1</v>
      </c>
      <c r="E22" s="1">
        <v>2.0499999999999998</v>
      </c>
      <c r="F22" s="1">
        <v>0.78100000000000003</v>
      </c>
      <c r="G22" s="1">
        <v>0.37909999999999999</v>
      </c>
      <c r="H22" s="1">
        <v>-0.4662</v>
      </c>
      <c r="I22" s="1">
        <v>1.4E-3</v>
      </c>
      <c r="J22" s="1">
        <v>3.3877000000000002</v>
      </c>
      <c r="K22" s="1">
        <v>3.7959000000000001</v>
      </c>
      <c r="L22" s="1">
        <v>1.9149</v>
      </c>
      <c r="M22" s="1">
        <v>-55.3</v>
      </c>
      <c r="N22" s="1">
        <v>1</v>
      </c>
      <c r="O22" s="1">
        <v>2.4794999999999998</v>
      </c>
      <c r="P22" s="1">
        <v>0.89910000000000001</v>
      </c>
      <c r="Q22" s="1">
        <v>0.37059999999999998</v>
      </c>
      <c r="R22" s="1">
        <v>-0.58130000000000004</v>
      </c>
      <c r="S22" s="1">
        <v>2.0199999999999999E-2</v>
      </c>
      <c r="T22" s="1">
        <v>1.8959999999999999</v>
      </c>
      <c r="U22" s="1">
        <v>2.6941000000000002</v>
      </c>
      <c r="V22" s="1">
        <v>1.7452000000000001</v>
      </c>
      <c r="W22" s="1">
        <v>100.7</v>
      </c>
      <c r="X22" s="1">
        <v>1</v>
      </c>
      <c r="Y22" s="1">
        <v>1.5387999999999999</v>
      </c>
      <c r="AA22" s="1">
        <v>0.53469999999999995</v>
      </c>
      <c r="AB22" s="1">
        <v>-0.65680000000000005</v>
      </c>
      <c r="AC22" s="1">
        <v>0.19370000000000001</v>
      </c>
      <c r="AD22" s="1">
        <v>3.9714999999999998</v>
      </c>
      <c r="AE22" s="1">
        <v>4.9905999999999997</v>
      </c>
      <c r="AF22" s="1">
        <v>2.0909</v>
      </c>
    </row>
    <row r="23" spans="1:32" s="1" customFormat="1" ht="11.25" x14ac:dyDescent="0.2">
      <c r="A23" s="1">
        <v>5</v>
      </c>
      <c r="B23" s="1">
        <v>1</v>
      </c>
      <c r="C23" s="1">
        <v>24.9</v>
      </c>
      <c r="D23" s="1">
        <v>1</v>
      </c>
      <c r="E23" s="1">
        <v>1.9179999999999999</v>
      </c>
      <c r="F23" s="1">
        <v>0.77569999999999995</v>
      </c>
      <c r="G23" s="1">
        <v>0.34189999999999998</v>
      </c>
      <c r="H23" s="1">
        <v>-0.4244</v>
      </c>
      <c r="I23" s="1">
        <v>1.6000000000000001E-3</v>
      </c>
      <c r="J23" s="1">
        <v>3.5419</v>
      </c>
      <c r="K23" s="1">
        <v>3.8540000000000001</v>
      </c>
      <c r="L23" s="1">
        <v>2.2978000000000001</v>
      </c>
      <c r="M23" s="1">
        <v>-55.5</v>
      </c>
      <c r="N23" s="1">
        <v>1</v>
      </c>
      <c r="O23" s="1">
        <v>2.3256000000000001</v>
      </c>
      <c r="P23" s="1">
        <v>0.89239999999999997</v>
      </c>
      <c r="Q23" s="1">
        <v>0.65510000000000002</v>
      </c>
      <c r="R23" s="1">
        <v>-1.0565</v>
      </c>
      <c r="S23" s="1">
        <v>1.89E-2</v>
      </c>
      <c r="T23" s="1">
        <v>2.0143</v>
      </c>
      <c r="U23" s="1">
        <v>2.7513000000000001</v>
      </c>
      <c r="V23" s="1">
        <v>2.1238000000000001</v>
      </c>
      <c r="W23" s="1">
        <v>100.2</v>
      </c>
      <c r="X23" s="1">
        <v>1</v>
      </c>
      <c r="Y23" s="1">
        <v>1.4493</v>
      </c>
      <c r="AA23" s="1">
        <v>0.55130000000000001</v>
      </c>
      <c r="AB23" s="1">
        <v>-0.64829999999999999</v>
      </c>
      <c r="AC23" s="1">
        <v>0.15559999999999999</v>
      </c>
      <c r="AD23" s="1">
        <v>4.1989000000000001</v>
      </c>
      <c r="AE23" s="1">
        <v>5.0846</v>
      </c>
      <c r="AF23" s="1">
        <v>2.4763000000000002</v>
      </c>
    </row>
    <row r="24" spans="1:32" s="1" customFormat="1" ht="11.25" x14ac:dyDescent="0.2">
      <c r="A24" s="1">
        <v>6</v>
      </c>
      <c r="B24" s="1">
        <v>1</v>
      </c>
      <c r="C24" s="1">
        <v>25.1</v>
      </c>
      <c r="D24" s="1">
        <v>1</v>
      </c>
      <c r="E24" s="1">
        <v>2.0501</v>
      </c>
      <c r="F24" s="1">
        <v>0.78269999999999995</v>
      </c>
      <c r="G24" s="1">
        <v>0.48070000000000002</v>
      </c>
      <c r="H24" s="1">
        <v>-0.54320000000000002</v>
      </c>
      <c r="I24" s="1">
        <v>1.1000000000000001E-3</v>
      </c>
      <c r="J24" s="1">
        <v>3.4598</v>
      </c>
      <c r="K24" s="1">
        <v>3.9039000000000001</v>
      </c>
      <c r="L24" s="1">
        <v>1.7995000000000001</v>
      </c>
      <c r="M24" s="1">
        <v>-55.2</v>
      </c>
      <c r="N24" s="1">
        <v>1</v>
      </c>
      <c r="O24" s="1">
        <v>2.4700000000000002</v>
      </c>
      <c r="P24" s="1">
        <v>0.89700000000000002</v>
      </c>
      <c r="Q24" s="1">
        <v>0.55610000000000004</v>
      </c>
      <c r="R24" s="1">
        <v>-0.87770000000000004</v>
      </c>
      <c r="S24" s="1">
        <v>1.95E-2</v>
      </c>
      <c r="T24" s="1">
        <v>2.0278</v>
      </c>
      <c r="U24" s="1">
        <v>2.8355000000000001</v>
      </c>
      <c r="V24" s="1">
        <v>1.6374</v>
      </c>
      <c r="W24" s="1">
        <v>100.6</v>
      </c>
      <c r="X24" s="1">
        <v>1</v>
      </c>
      <c r="Y24" s="1">
        <v>1.5734999999999999</v>
      </c>
      <c r="AA24" s="1">
        <v>0.42820000000000003</v>
      </c>
      <c r="AB24" s="1">
        <v>-0.5726</v>
      </c>
      <c r="AC24" s="1">
        <v>0.14349999999999999</v>
      </c>
      <c r="AD24" s="1">
        <v>4.0147000000000004</v>
      </c>
      <c r="AE24" s="1">
        <v>4.9870999999999999</v>
      </c>
      <c r="AF24" s="1">
        <v>1.9556</v>
      </c>
    </row>
    <row r="25" spans="1:32" s="1" customFormat="1" ht="11.25" x14ac:dyDescent="0.2">
      <c r="A25" s="1">
        <v>7</v>
      </c>
      <c r="B25" s="1">
        <v>1</v>
      </c>
      <c r="C25" s="1">
        <v>25</v>
      </c>
      <c r="D25" s="1">
        <v>1</v>
      </c>
      <c r="E25" s="1">
        <v>1.9274</v>
      </c>
      <c r="F25" s="1">
        <v>0.77380000000000004</v>
      </c>
      <c r="G25" s="1">
        <v>0.35809999999999997</v>
      </c>
      <c r="H25" s="1">
        <v>-0.41339999999999999</v>
      </c>
      <c r="I25" s="1">
        <v>1.6000000000000001E-3</v>
      </c>
      <c r="J25" s="1">
        <v>3.2578999999999998</v>
      </c>
      <c r="K25" s="1">
        <v>3.6783000000000001</v>
      </c>
      <c r="L25" s="1">
        <v>2.2282999999999999</v>
      </c>
      <c r="M25" s="1">
        <v>-55.2</v>
      </c>
      <c r="N25" s="1">
        <v>1</v>
      </c>
      <c r="O25" s="1">
        <v>2.3460999999999999</v>
      </c>
      <c r="P25" s="1">
        <v>0.89190000000000003</v>
      </c>
      <c r="Q25" s="1">
        <v>0.45939999999999998</v>
      </c>
      <c r="R25" s="1">
        <v>-0.53210000000000002</v>
      </c>
      <c r="S25" s="1">
        <v>1.7399999999999999E-2</v>
      </c>
      <c r="T25" s="1">
        <v>1.907</v>
      </c>
      <c r="U25" s="1">
        <v>2.6008</v>
      </c>
      <c r="V25" s="1">
        <v>2.0558999999999998</v>
      </c>
      <c r="W25" s="1">
        <v>100.7</v>
      </c>
      <c r="X25" s="1">
        <v>1</v>
      </c>
      <c r="Y25" s="1">
        <v>1.4458</v>
      </c>
      <c r="AA25" s="1">
        <v>0.51580000000000004</v>
      </c>
      <c r="AB25" s="1">
        <v>-0.65039999999999998</v>
      </c>
      <c r="AC25" s="1">
        <v>0.17230000000000001</v>
      </c>
      <c r="AD25" s="1">
        <v>3.8723000000000001</v>
      </c>
      <c r="AE25" s="1">
        <v>4.7946</v>
      </c>
      <c r="AF25" s="1">
        <v>2.4068000000000001</v>
      </c>
    </row>
    <row r="26" spans="1:32" s="1" customFormat="1" ht="11.25" x14ac:dyDescent="0.2">
      <c r="A26" s="1">
        <v>8</v>
      </c>
      <c r="B26" s="1">
        <v>1</v>
      </c>
      <c r="C26" s="1">
        <v>25</v>
      </c>
      <c r="D26" s="1">
        <v>1</v>
      </c>
      <c r="E26" s="1">
        <v>1.9802999999999999</v>
      </c>
      <c r="F26" s="1">
        <v>0.78310000000000002</v>
      </c>
      <c r="G26" s="1">
        <v>0.45579999999999998</v>
      </c>
      <c r="H26" s="1">
        <v>-0.53359999999999996</v>
      </c>
      <c r="I26" s="1">
        <v>1.5E-3</v>
      </c>
      <c r="J26" s="1">
        <v>3.4432999999999998</v>
      </c>
      <c r="K26" s="1">
        <v>4.0465999999999998</v>
      </c>
      <c r="L26" s="1">
        <v>2.0238</v>
      </c>
      <c r="M26" s="1">
        <v>-55.3</v>
      </c>
      <c r="N26" s="1">
        <v>1</v>
      </c>
      <c r="O26" s="1">
        <v>2.3921999999999999</v>
      </c>
      <c r="P26" s="1">
        <v>0.90039999999999998</v>
      </c>
      <c r="Q26" s="1">
        <v>0.67049999999999998</v>
      </c>
      <c r="R26" s="1">
        <v>-0.77610000000000001</v>
      </c>
      <c r="S26" s="1">
        <v>1.89E-2</v>
      </c>
      <c r="T26" s="1">
        <v>2.0110000000000001</v>
      </c>
      <c r="U26" s="1">
        <v>2.9722</v>
      </c>
      <c r="V26" s="1">
        <v>1.8539000000000001</v>
      </c>
      <c r="W26" s="1">
        <v>100.4</v>
      </c>
      <c r="X26" s="1">
        <v>1</v>
      </c>
      <c r="Y26" s="1">
        <v>1.4964999999999999</v>
      </c>
      <c r="AA26" s="1">
        <v>0.52510000000000001</v>
      </c>
      <c r="AB26" s="1">
        <v>-0.58709999999999996</v>
      </c>
      <c r="AC26" s="1">
        <v>0.17269999999999999</v>
      </c>
      <c r="AD26" s="1">
        <v>4.1128999999999998</v>
      </c>
      <c r="AE26" s="1">
        <v>5.2737999999999996</v>
      </c>
      <c r="AF26" s="1">
        <v>2.1995</v>
      </c>
    </row>
    <row r="27" spans="1:32" s="1" customFormat="1" ht="11.25" x14ac:dyDescent="0.2">
      <c r="A27" s="1">
        <v>9</v>
      </c>
      <c r="B27" s="1">
        <v>1</v>
      </c>
      <c r="C27" s="1">
        <v>25</v>
      </c>
      <c r="D27" s="1">
        <v>1</v>
      </c>
      <c r="E27" s="1">
        <v>1.9466000000000001</v>
      </c>
      <c r="F27" s="1">
        <v>0.77380000000000004</v>
      </c>
      <c r="G27" s="1">
        <v>0.34860000000000002</v>
      </c>
      <c r="H27" s="1">
        <v>-0.41710000000000003</v>
      </c>
      <c r="I27" s="1">
        <v>1.5E-3</v>
      </c>
      <c r="J27" s="1">
        <v>3.3933</v>
      </c>
      <c r="K27" s="1">
        <v>3.7789000000000001</v>
      </c>
      <c r="L27" s="1">
        <v>2.2906</v>
      </c>
      <c r="M27" s="1">
        <v>-55.2</v>
      </c>
      <c r="N27" s="1">
        <v>1</v>
      </c>
      <c r="O27" s="1">
        <v>2.3494999999999999</v>
      </c>
      <c r="P27" s="1">
        <v>0.89200000000000002</v>
      </c>
      <c r="Q27" s="1">
        <v>0.52239999999999998</v>
      </c>
      <c r="R27" s="1">
        <v>-0.7409</v>
      </c>
      <c r="S27" s="1">
        <v>1.6299999999999999E-2</v>
      </c>
      <c r="T27" s="1">
        <v>1.9692000000000001</v>
      </c>
      <c r="U27" s="1">
        <v>2.7046000000000001</v>
      </c>
      <c r="V27" s="1">
        <v>2.1166</v>
      </c>
      <c r="W27" s="1">
        <v>100.5</v>
      </c>
      <c r="X27" s="1">
        <v>1</v>
      </c>
      <c r="Y27" s="1">
        <v>1.4765999999999999</v>
      </c>
      <c r="AA27" s="1">
        <v>0.39950000000000002</v>
      </c>
      <c r="AB27" s="1">
        <v>-0.53969999999999996</v>
      </c>
      <c r="AC27" s="1">
        <v>0.15959999999999999</v>
      </c>
      <c r="AD27" s="1">
        <v>4.0141999999999998</v>
      </c>
      <c r="AE27" s="1">
        <v>4.9724000000000004</v>
      </c>
      <c r="AF27" s="1">
        <v>2.4672999999999998</v>
      </c>
    </row>
    <row r="28" spans="1:32" s="1" customFormat="1" ht="11.25" x14ac:dyDescent="0.2">
      <c r="A28" s="1">
        <v>10</v>
      </c>
      <c r="B28" s="1">
        <v>1</v>
      </c>
      <c r="C28" s="1">
        <v>25</v>
      </c>
      <c r="D28" s="1">
        <v>1</v>
      </c>
      <c r="E28" s="1">
        <v>1.9851000000000001</v>
      </c>
      <c r="F28" s="1">
        <v>0.77900000000000003</v>
      </c>
      <c r="G28" s="1">
        <v>0.36270000000000002</v>
      </c>
      <c r="H28" s="1">
        <v>-0.44180000000000003</v>
      </c>
      <c r="I28" s="1">
        <v>1.4E-3</v>
      </c>
      <c r="J28" s="1">
        <v>3.3054999999999999</v>
      </c>
      <c r="K28" s="1">
        <v>3.8045</v>
      </c>
      <c r="L28" s="1">
        <v>2.0680999999999998</v>
      </c>
      <c r="M28" s="1">
        <v>-55.1</v>
      </c>
      <c r="N28" s="1">
        <v>1</v>
      </c>
      <c r="O28" s="1">
        <v>2.3835000000000002</v>
      </c>
      <c r="P28" s="1">
        <v>0.89600000000000002</v>
      </c>
      <c r="Q28" s="1">
        <v>0.39850000000000002</v>
      </c>
      <c r="R28" s="1">
        <v>-0.54120000000000001</v>
      </c>
      <c r="S28" s="1">
        <v>1.6799999999999999E-2</v>
      </c>
      <c r="T28" s="1">
        <v>1.8791</v>
      </c>
      <c r="U28" s="1">
        <v>2.7576000000000001</v>
      </c>
      <c r="V28" s="1">
        <v>1.8975</v>
      </c>
      <c r="W28" s="1">
        <v>100.3</v>
      </c>
      <c r="X28" s="1">
        <v>1</v>
      </c>
      <c r="Y28" s="1">
        <v>1.5222</v>
      </c>
      <c r="AA28" s="1">
        <v>0.46820000000000001</v>
      </c>
      <c r="AB28" s="1">
        <v>-0.626</v>
      </c>
      <c r="AC28" s="1">
        <v>0.1638</v>
      </c>
      <c r="AD28" s="1">
        <v>3.9230999999999998</v>
      </c>
      <c r="AE28" s="1">
        <v>4.9855999999999998</v>
      </c>
      <c r="AF28" s="1">
        <v>2.2498999999999998</v>
      </c>
    </row>
    <row r="29" spans="1:32" s="1" customFormat="1" ht="11.25" x14ac:dyDescent="0.2">
      <c r="A29" s="1">
        <v>11</v>
      </c>
      <c r="B29" s="1">
        <v>1</v>
      </c>
      <c r="C29" s="1">
        <v>24.9</v>
      </c>
      <c r="D29" s="1">
        <v>1</v>
      </c>
      <c r="E29" s="1">
        <v>1.9630000000000001</v>
      </c>
      <c r="F29" s="1">
        <v>0.77659999999999996</v>
      </c>
      <c r="G29" s="1">
        <v>0.48320000000000002</v>
      </c>
      <c r="H29" s="1">
        <v>-0.54620000000000002</v>
      </c>
      <c r="I29" s="1">
        <v>1.2999999999999999E-3</v>
      </c>
      <c r="J29" s="1">
        <v>3.2395999999999998</v>
      </c>
      <c r="K29" s="1">
        <v>3.7042000000000002</v>
      </c>
      <c r="L29" s="1">
        <v>2.1273</v>
      </c>
      <c r="M29" s="1">
        <v>-55.4</v>
      </c>
      <c r="N29" s="1">
        <v>1</v>
      </c>
      <c r="O29" s="1">
        <v>2.3730000000000002</v>
      </c>
      <c r="P29" s="1">
        <v>0.89700000000000002</v>
      </c>
      <c r="Q29" s="1">
        <v>0.5111</v>
      </c>
      <c r="R29" s="1">
        <v>-0.59119999999999995</v>
      </c>
      <c r="S29" s="1">
        <v>1.8200000000000001E-2</v>
      </c>
      <c r="T29" s="1">
        <v>1.7890999999999999</v>
      </c>
      <c r="U29" s="1">
        <v>2.6000999999999999</v>
      </c>
      <c r="V29" s="1">
        <v>1.9548000000000001</v>
      </c>
      <c r="W29" s="1">
        <v>101.1</v>
      </c>
      <c r="X29" s="1">
        <v>1</v>
      </c>
      <c r="Y29" s="1">
        <v>1.4634</v>
      </c>
      <c r="AA29" s="1">
        <v>0.4516</v>
      </c>
      <c r="AB29" s="1">
        <v>-0.56159999999999999</v>
      </c>
      <c r="AC29" s="1">
        <v>0.22070000000000001</v>
      </c>
      <c r="AD29" s="1">
        <v>3.9651000000000001</v>
      </c>
      <c r="AE29" s="1">
        <v>4.9519000000000002</v>
      </c>
      <c r="AF29" s="1">
        <v>2.3094999999999999</v>
      </c>
    </row>
    <row r="30" spans="1:32" s="1" customFormat="1" ht="11.25" x14ac:dyDescent="0.2">
      <c r="A30" s="1">
        <v>12</v>
      </c>
      <c r="B30" s="1">
        <v>1</v>
      </c>
      <c r="C30" s="1">
        <v>25</v>
      </c>
      <c r="D30" s="1">
        <v>1</v>
      </c>
      <c r="E30" s="1">
        <v>2.1875</v>
      </c>
      <c r="F30" s="1">
        <v>0.78559999999999997</v>
      </c>
      <c r="G30" s="1">
        <v>0.49080000000000001</v>
      </c>
      <c r="H30" s="1">
        <v>-0.56810000000000005</v>
      </c>
      <c r="I30" s="1">
        <v>1.1999999999999999E-3</v>
      </c>
      <c r="J30" s="1">
        <v>3.3954</v>
      </c>
      <c r="K30" s="1">
        <v>3.9379</v>
      </c>
      <c r="L30" s="1">
        <v>1.7404999999999999</v>
      </c>
      <c r="M30" s="1">
        <v>-55.3</v>
      </c>
      <c r="N30" s="1">
        <v>1</v>
      </c>
      <c r="O30" s="1">
        <v>2.6354000000000002</v>
      </c>
      <c r="P30" s="1">
        <v>0.90039999999999998</v>
      </c>
      <c r="Q30" s="1">
        <v>0.66180000000000005</v>
      </c>
      <c r="R30" s="1">
        <v>-0.67720000000000002</v>
      </c>
      <c r="S30" s="1">
        <v>1.61E-2</v>
      </c>
      <c r="T30" s="1">
        <v>1.9666999999999999</v>
      </c>
      <c r="U30" s="1">
        <v>2.9312</v>
      </c>
      <c r="V30" s="1">
        <v>1.5831999999999999</v>
      </c>
      <c r="W30" s="1">
        <v>100.7</v>
      </c>
      <c r="X30" s="1">
        <v>1</v>
      </c>
      <c r="Y30" s="1">
        <v>1.6633</v>
      </c>
      <c r="AA30" s="1">
        <v>0.48039999999999999</v>
      </c>
      <c r="AB30" s="1">
        <v>-0.58720000000000006</v>
      </c>
      <c r="AC30" s="1">
        <v>0.1701</v>
      </c>
      <c r="AD30" s="1">
        <v>3.9032</v>
      </c>
      <c r="AE30" s="1">
        <v>5.0762</v>
      </c>
      <c r="AF30" s="1">
        <v>1.8996999999999999</v>
      </c>
    </row>
    <row r="31" spans="1:32" s="1" customFormat="1" ht="11.25" x14ac:dyDescent="0.2">
      <c r="A31" s="1">
        <v>13</v>
      </c>
      <c r="B31" s="1">
        <v>1</v>
      </c>
      <c r="C31" s="1">
        <v>24.9</v>
      </c>
      <c r="D31" s="1">
        <v>1</v>
      </c>
      <c r="E31" s="1">
        <v>1.9826999999999999</v>
      </c>
      <c r="F31" s="1">
        <v>0.78200000000000003</v>
      </c>
      <c r="G31" s="1">
        <v>0.4375</v>
      </c>
      <c r="H31" s="1">
        <v>-0.4511</v>
      </c>
      <c r="I31" s="1">
        <v>1.6999999999999999E-3</v>
      </c>
      <c r="J31" s="1">
        <v>3.3986000000000001</v>
      </c>
      <c r="K31" s="1">
        <v>3.8176999999999999</v>
      </c>
      <c r="L31" s="1">
        <v>1.9014</v>
      </c>
      <c r="M31" s="1">
        <v>-55.1</v>
      </c>
      <c r="N31" s="1">
        <v>1</v>
      </c>
      <c r="O31" s="1">
        <v>2.3871000000000002</v>
      </c>
      <c r="P31" s="1">
        <v>0.89759999999999995</v>
      </c>
      <c r="Q31" s="1">
        <v>0.62229999999999996</v>
      </c>
      <c r="R31" s="1">
        <v>-1.0839000000000001</v>
      </c>
      <c r="S31" s="1">
        <v>1.52E-2</v>
      </c>
      <c r="T31" s="1">
        <v>1.9469000000000001</v>
      </c>
      <c r="U31" s="1">
        <v>2.7614000000000001</v>
      </c>
      <c r="V31" s="1">
        <v>1.7375</v>
      </c>
      <c r="W31" s="1">
        <v>100.4</v>
      </c>
      <c r="X31" s="1">
        <v>1</v>
      </c>
      <c r="Y31" s="1">
        <v>1.5157</v>
      </c>
      <c r="AA31" s="1">
        <v>0.52980000000000005</v>
      </c>
      <c r="AB31" s="1">
        <v>-0.57599999999999996</v>
      </c>
      <c r="AC31" s="1">
        <v>0.15640000000000001</v>
      </c>
      <c r="AD31" s="1">
        <v>4.0122999999999998</v>
      </c>
      <c r="AE31" s="1">
        <v>5.0423999999999998</v>
      </c>
      <c r="AF31" s="1">
        <v>2.0668000000000002</v>
      </c>
    </row>
    <row r="32" spans="1:32" s="1" customFormat="1" ht="11.25" x14ac:dyDescent="0.2">
      <c r="A32" s="1">
        <v>14</v>
      </c>
      <c r="B32" s="1">
        <v>1</v>
      </c>
      <c r="C32" s="1">
        <v>25.1</v>
      </c>
      <c r="D32" s="1">
        <v>1</v>
      </c>
      <c r="E32" s="1">
        <v>1.9454</v>
      </c>
      <c r="F32" s="1">
        <v>0.78159999999999996</v>
      </c>
      <c r="G32" s="1">
        <v>0.47689999999999999</v>
      </c>
      <c r="H32" s="1">
        <v>-0.59870000000000001</v>
      </c>
      <c r="I32" s="1">
        <v>1.4E-3</v>
      </c>
      <c r="J32" s="1">
        <v>3.2363</v>
      </c>
      <c r="K32" s="1">
        <v>3.8776999999999999</v>
      </c>
      <c r="L32" s="1">
        <v>1.9146000000000001</v>
      </c>
      <c r="M32" s="1">
        <v>-55.2</v>
      </c>
      <c r="N32" s="1">
        <v>1</v>
      </c>
      <c r="O32" s="1">
        <v>2.3439999999999999</v>
      </c>
      <c r="P32" s="1">
        <v>0.89880000000000004</v>
      </c>
      <c r="Q32" s="1">
        <v>0.50319999999999998</v>
      </c>
      <c r="R32" s="1">
        <v>-0.60809999999999997</v>
      </c>
      <c r="S32" s="1">
        <v>0.02</v>
      </c>
      <c r="T32" s="1">
        <v>1.8514999999999999</v>
      </c>
      <c r="U32" s="1">
        <v>2.8443000000000001</v>
      </c>
      <c r="V32" s="1">
        <v>1.7494000000000001</v>
      </c>
      <c r="W32" s="1">
        <v>100.4</v>
      </c>
      <c r="X32" s="1">
        <v>1</v>
      </c>
      <c r="Y32" s="1">
        <v>1.4856</v>
      </c>
      <c r="AA32" s="1">
        <v>0.53810000000000002</v>
      </c>
      <c r="AB32" s="1">
        <v>-0.67749999999999999</v>
      </c>
      <c r="AC32" s="1">
        <v>0.16539999999999999</v>
      </c>
      <c r="AD32" s="1">
        <v>3.9293999999999998</v>
      </c>
      <c r="AE32" s="1">
        <v>5.0406000000000004</v>
      </c>
      <c r="AF32" s="1">
        <v>2.0847000000000002</v>
      </c>
    </row>
    <row r="33" spans="1:32" s="1" customFormat="1" ht="11.25" x14ac:dyDescent="0.2">
      <c r="A33" s="1">
        <v>15</v>
      </c>
      <c r="B33" s="1">
        <v>1</v>
      </c>
      <c r="C33" s="1">
        <v>24.9</v>
      </c>
      <c r="D33" s="1">
        <v>1</v>
      </c>
      <c r="E33" s="1">
        <v>1.9204000000000001</v>
      </c>
      <c r="F33" s="1">
        <v>0.77610000000000001</v>
      </c>
      <c r="G33" s="1">
        <v>0.43430000000000002</v>
      </c>
      <c r="H33" s="1">
        <v>-0.55400000000000005</v>
      </c>
      <c r="I33" s="1">
        <v>1.6999999999999999E-3</v>
      </c>
      <c r="J33" s="1">
        <v>3.4150999999999998</v>
      </c>
      <c r="K33" s="1">
        <v>3.8464</v>
      </c>
      <c r="L33" s="1">
        <v>2.2919999999999998</v>
      </c>
      <c r="M33" s="1">
        <v>-55.3</v>
      </c>
      <c r="N33" s="1">
        <v>1</v>
      </c>
      <c r="O33" s="1">
        <v>2.319</v>
      </c>
      <c r="P33" s="1">
        <v>0.89410000000000001</v>
      </c>
      <c r="Q33" s="1">
        <v>0.59519999999999995</v>
      </c>
      <c r="R33" s="1">
        <v>-0.75680000000000003</v>
      </c>
      <c r="S33" s="1">
        <v>1.3599999999999999E-2</v>
      </c>
      <c r="T33" s="1">
        <v>2.0169000000000001</v>
      </c>
      <c r="U33" s="1">
        <v>2.7517999999999998</v>
      </c>
      <c r="V33" s="1">
        <v>2.1172</v>
      </c>
      <c r="W33" s="1">
        <v>100.5</v>
      </c>
      <c r="X33" s="1">
        <v>1</v>
      </c>
      <c r="Y33" s="1">
        <v>1.4509000000000001</v>
      </c>
      <c r="AA33" s="1">
        <v>0.54300000000000004</v>
      </c>
      <c r="AB33" s="1">
        <v>-0.64080000000000004</v>
      </c>
      <c r="AC33" s="1">
        <v>0.17249999999999999</v>
      </c>
      <c r="AD33" s="1">
        <v>4.0964999999999998</v>
      </c>
      <c r="AE33" s="1">
        <v>5.0667999999999997</v>
      </c>
      <c r="AF33" s="1">
        <v>2.4708999999999999</v>
      </c>
    </row>
    <row r="34" spans="1:32" s="1" customFormat="1" ht="11.25" x14ac:dyDescent="0.2">
      <c r="A34" s="1">
        <v>16</v>
      </c>
      <c r="B34" s="1">
        <v>1</v>
      </c>
      <c r="C34" s="1">
        <v>25</v>
      </c>
      <c r="D34" s="1">
        <v>1</v>
      </c>
      <c r="E34" s="1">
        <v>2.0278999999999998</v>
      </c>
      <c r="F34" s="1">
        <v>0.77929999999999999</v>
      </c>
      <c r="G34" s="1">
        <v>0.4471</v>
      </c>
      <c r="H34" s="1">
        <v>-0.4592</v>
      </c>
      <c r="I34" s="1">
        <v>1.6000000000000001E-3</v>
      </c>
      <c r="J34" s="1">
        <v>3.4592000000000001</v>
      </c>
      <c r="K34" s="1">
        <v>3.8835999999999999</v>
      </c>
      <c r="L34" s="1">
        <v>2.0651999999999999</v>
      </c>
      <c r="M34" s="1">
        <v>-55.2</v>
      </c>
      <c r="N34" s="1">
        <v>1</v>
      </c>
      <c r="O34" s="1">
        <v>2.4603000000000002</v>
      </c>
      <c r="P34" s="1">
        <v>0.89570000000000005</v>
      </c>
      <c r="Q34" s="1">
        <v>0.43990000000000001</v>
      </c>
      <c r="R34" s="1">
        <v>-0.57889999999999997</v>
      </c>
      <c r="S34" s="1">
        <v>1.1900000000000001E-2</v>
      </c>
      <c r="T34" s="1">
        <v>2.0184000000000002</v>
      </c>
      <c r="U34" s="1">
        <v>2.7944</v>
      </c>
      <c r="V34" s="1">
        <v>1.8987000000000001</v>
      </c>
      <c r="W34" s="1">
        <v>100.3</v>
      </c>
      <c r="X34" s="1">
        <v>1</v>
      </c>
      <c r="Y34" s="1">
        <v>1.5318000000000001</v>
      </c>
      <c r="AA34" s="1">
        <v>0.49199999999999999</v>
      </c>
      <c r="AB34" s="1">
        <v>-0.56859999999999999</v>
      </c>
      <c r="AC34" s="1">
        <v>0.1615</v>
      </c>
      <c r="AD34" s="1">
        <v>4.0583999999999998</v>
      </c>
      <c r="AE34" s="1">
        <v>5.0399000000000003</v>
      </c>
      <c r="AF34" s="1">
        <v>2.2383999999999999</v>
      </c>
    </row>
    <row r="35" spans="1:32" s="1" customFormat="1" ht="11.25" x14ac:dyDescent="0.2">
      <c r="A35" s="1">
        <v>17</v>
      </c>
      <c r="B35" s="1">
        <v>1</v>
      </c>
      <c r="C35" s="1">
        <v>25</v>
      </c>
      <c r="D35" s="1">
        <v>1</v>
      </c>
      <c r="E35" s="1">
        <v>1.9164000000000001</v>
      </c>
      <c r="F35" s="1">
        <v>0.77800000000000002</v>
      </c>
      <c r="G35" s="1">
        <v>0.41789999999999999</v>
      </c>
      <c r="H35" s="1">
        <v>-0.45689999999999997</v>
      </c>
      <c r="I35" s="1">
        <v>1.4E-3</v>
      </c>
      <c r="J35" s="1">
        <v>3.4497</v>
      </c>
      <c r="K35" s="1">
        <v>3.8755000000000002</v>
      </c>
      <c r="L35" s="1">
        <v>2.1717</v>
      </c>
      <c r="M35" s="1">
        <v>-55.3</v>
      </c>
      <c r="N35" s="1">
        <v>1</v>
      </c>
      <c r="O35" s="1">
        <v>2.3108</v>
      </c>
      <c r="P35" s="1">
        <v>0.89670000000000005</v>
      </c>
      <c r="Q35" s="1">
        <v>0.43880000000000002</v>
      </c>
      <c r="R35" s="1">
        <v>-0.54190000000000005</v>
      </c>
      <c r="S35" s="1">
        <v>1.83E-2</v>
      </c>
      <c r="T35" s="1">
        <v>1.9538</v>
      </c>
      <c r="U35" s="1">
        <v>2.8073999999999999</v>
      </c>
      <c r="V35" s="1">
        <v>1.9981</v>
      </c>
      <c r="W35" s="1">
        <v>100.4</v>
      </c>
      <c r="X35" s="1">
        <v>1</v>
      </c>
      <c r="Y35" s="1">
        <v>1.4519</v>
      </c>
      <c r="AA35" s="1">
        <v>0.52270000000000005</v>
      </c>
      <c r="AB35" s="1">
        <v>-0.65800000000000003</v>
      </c>
      <c r="AC35" s="1">
        <v>0.18099999999999999</v>
      </c>
      <c r="AD35" s="1">
        <v>4.1162999999999998</v>
      </c>
      <c r="AE35" s="1">
        <v>5.1196000000000002</v>
      </c>
      <c r="AF35" s="1">
        <v>2.3512</v>
      </c>
    </row>
    <row r="36" spans="1:32" s="1" customFormat="1" ht="11.25" x14ac:dyDescent="0.2">
      <c r="A36" s="1">
        <v>18</v>
      </c>
      <c r="B36" s="1">
        <v>1</v>
      </c>
      <c r="C36" s="1">
        <v>25</v>
      </c>
      <c r="D36" s="1">
        <v>1</v>
      </c>
      <c r="E36" s="1">
        <v>2.0670999999999999</v>
      </c>
      <c r="F36" s="1">
        <v>0.78159999999999996</v>
      </c>
      <c r="G36" s="1">
        <v>0.39639999999999997</v>
      </c>
      <c r="H36" s="1">
        <v>-0.42280000000000001</v>
      </c>
      <c r="I36" s="1">
        <v>1.5E-3</v>
      </c>
      <c r="J36" s="1">
        <v>3.3822000000000001</v>
      </c>
      <c r="K36" s="1">
        <v>3.8635999999999999</v>
      </c>
      <c r="L36" s="1">
        <v>1.9979</v>
      </c>
      <c r="M36" s="1">
        <v>-55.1</v>
      </c>
      <c r="N36" s="1">
        <v>1</v>
      </c>
      <c r="O36" s="1">
        <v>2.5183</v>
      </c>
      <c r="P36" s="1">
        <v>0.89870000000000005</v>
      </c>
      <c r="Q36" s="1">
        <v>0.56120000000000003</v>
      </c>
      <c r="R36" s="1">
        <v>-0.76600000000000001</v>
      </c>
      <c r="S36" s="1">
        <v>1.6500000000000001E-2</v>
      </c>
      <c r="T36" s="1">
        <v>2.0005000000000002</v>
      </c>
      <c r="U36" s="1">
        <v>2.7587000000000002</v>
      </c>
      <c r="V36" s="1">
        <v>1.8281000000000001</v>
      </c>
      <c r="W36" s="1">
        <v>100.6</v>
      </c>
      <c r="X36" s="1">
        <v>1</v>
      </c>
      <c r="Y36" s="1">
        <v>1.5468999999999999</v>
      </c>
      <c r="AA36" s="1">
        <v>0.55900000000000005</v>
      </c>
      <c r="AB36" s="1">
        <v>-0.67149999999999999</v>
      </c>
      <c r="AC36" s="1">
        <v>0.17960000000000001</v>
      </c>
      <c r="AD36" s="1">
        <v>4.0507999999999997</v>
      </c>
      <c r="AE36" s="1">
        <v>5.0522999999999998</v>
      </c>
      <c r="AF36" s="1">
        <v>2.1699000000000002</v>
      </c>
    </row>
    <row r="37" spans="1:32" s="1" customFormat="1" ht="11.25" x14ac:dyDescent="0.2">
      <c r="A37" s="1">
        <v>20</v>
      </c>
      <c r="B37" s="1">
        <v>1</v>
      </c>
      <c r="C37" s="1">
        <v>25</v>
      </c>
      <c r="D37" s="1">
        <v>1</v>
      </c>
      <c r="E37" s="1">
        <v>2.0131999999999999</v>
      </c>
      <c r="F37" s="1">
        <v>0.77859999999999996</v>
      </c>
      <c r="G37" s="1">
        <v>0.3901</v>
      </c>
      <c r="H37" s="1">
        <v>-0.4758</v>
      </c>
      <c r="I37" s="1">
        <v>1.4E-3</v>
      </c>
      <c r="J37" s="1">
        <v>3.4178000000000002</v>
      </c>
      <c r="K37" s="1">
        <v>3.8197999999999999</v>
      </c>
      <c r="L37" s="1">
        <v>2.1509</v>
      </c>
      <c r="M37" s="1">
        <v>-55</v>
      </c>
      <c r="N37" s="1">
        <v>1</v>
      </c>
      <c r="O37" s="1">
        <v>2.4390000000000001</v>
      </c>
      <c r="P37" s="1">
        <v>0.89429999999999998</v>
      </c>
      <c r="Q37" s="1">
        <v>0.62009999999999998</v>
      </c>
      <c r="R37" s="1">
        <v>-0.67190000000000005</v>
      </c>
      <c r="S37" s="1">
        <v>1.2699999999999999E-2</v>
      </c>
      <c r="T37" s="1">
        <v>1.9220999999999999</v>
      </c>
      <c r="U37" s="1">
        <v>2.7372999999999998</v>
      </c>
      <c r="V37" s="1">
        <v>1.9843</v>
      </c>
      <c r="W37" s="1">
        <v>100.4</v>
      </c>
      <c r="X37" s="1">
        <v>1</v>
      </c>
      <c r="Y37" s="1">
        <v>1.5227999999999999</v>
      </c>
      <c r="AA37" s="1">
        <v>0.48659999999999998</v>
      </c>
      <c r="AB37" s="1">
        <v>-0.61809999999999998</v>
      </c>
      <c r="AC37" s="1">
        <v>0.14699999999999999</v>
      </c>
      <c r="AD37" s="1">
        <v>4.0110000000000001</v>
      </c>
      <c r="AE37" s="1">
        <v>4.9942000000000002</v>
      </c>
      <c r="AF37" s="1">
        <v>2.3254999999999999</v>
      </c>
    </row>
    <row r="38" spans="1:32" s="1" customFormat="1" ht="11.25" x14ac:dyDescent="0.2">
      <c r="A38" s="1">
        <v>21</v>
      </c>
      <c r="B38" s="1">
        <v>1</v>
      </c>
      <c r="C38" s="1">
        <v>25.1</v>
      </c>
      <c r="D38" s="1">
        <v>1</v>
      </c>
      <c r="E38" s="1">
        <v>2.1048</v>
      </c>
      <c r="F38" s="1">
        <v>0.78490000000000004</v>
      </c>
      <c r="G38" s="1">
        <v>0.51819999999999999</v>
      </c>
      <c r="H38" s="1">
        <v>-0.60499999999999998</v>
      </c>
      <c r="I38" s="1">
        <v>1E-3</v>
      </c>
      <c r="J38" s="1">
        <v>3.5623999999999998</v>
      </c>
      <c r="K38" s="1">
        <v>3.9790999999999999</v>
      </c>
      <c r="L38" s="1">
        <v>1.8095000000000001</v>
      </c>
      <c r="M38" s="1">
        <v>-54.7</v>
      </c>
      <c r="N38" s="1">
        <v>1</v>
      </c>
      <c r="O38" s="1">
        <v>2.5653000000000001</v>
      </c>
      <c r="P38" s="1">
        <v>0.89959999999999996</v>
      </c>
      <c r="Q38" s="1">
        <v>3.1208</v>
      </c>
      <c r="R38" s="1">
        <v>-23.721499999999999</v>
      </c>
      <c r="S38" s="1">
        <v>1.5699999999999999E-2</v>
      </c>
      <c r="T38" s="1">
        <v>2.0211000000000001</v>
      </c>
      <c r="U38" s="1">
        <v>2.8614000000000002</v>
      </c>
      <c r="V38" s="1">
        <v>1.6513</v>
      </c>
      <c r="W38" s="1">
        <v>100.5</v>
      </c>
      <c r="X38" s="1">
        <v>1</v>
      </c>
      <c r="Y38" s="1">
        <v>1.5783</v>
      </c>
      <c r="AA38" s="1">
        <v>0.60870000000000002</v>
      </c>
      <c r="AB38" s="1">
        <v>-0.81520000000000004</v>
      </c>
      <c r="AC38" s="1">
        <v>0.17899999999999999</v>
      </c>
      <c r="AD38" s="1">
        <v>4.0728</v>
      </c>
      <c r="AE38" s="1">
        <v>5.1158999999999999</v>
      </c>
      <c r="AF38" s="1">
        <v>1.9712000000000001</v>
      </c>
    </row>
    <row r="39" spans="1:32" s="1" customFormat="1" ht="11.25" x14ac:dyDescent="0.2">
      <c r="A39" s="1">
        <v>22</v>
      </c>
      <c r="B39" s="1">
        <v>1</v>
      </c>
      <c r="C39" s="1">
        <v>24.9</v>
      </c>
      <c r="D39" s="1">
        <v>1</v>
      </c>
      <c r="E39" s="1">
        <v>1.9926999999999999</v>
      </c>
      <c r="F39" s="1">
        <v>0.77690000000000003</v>
      </c>
      <c r="G39" s="1">
        <v>0.41299999999999998</v>
      </c>
      <c r="H39" s="1">
        <v>-0.55179999999999996</v>
      </c>
      <c r="I39" s="1">
        <v>1.2999999999999999E-3</v>
      </c>
      <c r="J39" s="1">
        <v>3.4161000000000001</v>
      </c>
      <c r="K39" s="1">
        <v>3.8182</v>
      </c>
      <c r="L39" s="1">
        <v>2.1067</v>
      </c>
      <c r="M39" s="1">
        <v>-55.2</v>
      </c>
      <c r="N39" s="1">
        <v>1</v>
      </c>
      <c r="O39" s="1">
        <v>2.4156</v>
      </c>
      <c r="P39" s="1">
        <v>0.89480000000000004</v>
      </c>
      <c r="Q39" s="1">
        <v>0.62280000000000002</v>
      </c>
      <c r="R39" s="1">
        <v>-0.77390000000000003</v>
      </c>
      <c r="S39" s="1">
        <v>4.7999999999999996E-3</v>
      </c>
      <c r="T39" s="1">
        <v>1.9116</v>
      </c>
      <c r="U39" s="1">
        <v>2.6989999999999998</v>
      </c>
      <c r="V39" s="1">
        <v>1.9468000000000001</v>
      </c>
      <c r="W39" s="1">
        <v>100.3</v>
      </c>
      <c r="X39" s="1">
        <v>1</v>
      </c>
      <c r="Y39" s="1">
        <v>1.5013000000000001</v>
      </c>
      <c r="AA39" s="1">
        <v>0.46700000000000003</v>
      </c>
      <c r="AB39" s="1">
        <v>-0.64039999999999997</v>
      </c>
      <c r="AC39" s="1">
        <v>0.18210000000000001</v>
      </c>
      <c r="AD39" s="1">
        <v>4.0719000000000003</v>
      </c>
      <c r="AE39" s="1">
        <v>4.9343000000000004</v>
      </c>
      <c r="AF39" s="1">
        <v>2.2799999999999998</v>
      </c>
    </row>
    <row r="40" spans="1:32" s="1" customFormat="1" ht="11.25" x14ac:dyDescent="0.2">
      <c r="A40" s="1">
        <v>23</v>
      </c>
      <c r="B40" s="1">
        <v>1</v>
      </c>
      <c r="C40" s="1">
        <v>25.1</v>
      </c>
      <c r="D40" s="1">
        <v>1</v>
      </c>
      <c r="E40" s="1">
        <v>2.0731999999999999</v>
      </c>
      <c r="F40" s="1">
        <v>0.77969999999999995</v>
      </c>
      <c r="G40" s="1">
        <v>0.54139999999999999</v>
      </c>
      <c r="H40" s="1">
        <v>-0.60780000000000001</v>
      </c>
      <c r="I40" s="1">
        <v>1.1000000000000001E-3</v>
      </c>
      <c r="J40" s="1">
        <v>3.3877999999999999</v>
      </c>
      <c r="K40" s="1">
        <v>3.8325999999999998</v>
      </c>
      <c r="L40" s="1">
        <v>1.9737</v>
      </c>
      <c r="M40" s="1">
        <v>-55.3</v>
      </c>
      <c r="N40" s="1">
        <v>1</v>
      </c>
      <c r="O40" s="1">
        <v>2.5232999999999999</v>
      </c>
      <c r="P40" s="1">
        <v>0.89939999999999998</v>
      </c>
      <c r="Q40" s="1">
        <v>0.44750000000000001</v>
      </c>
      <c r="R40" s="1">
        <v>-0.61299999999999999</v>
      </c>
      <c r="S40" s="1">
        <v>1.8800000000000001E-2</v>
      </c>
      <c r="T40" s="1">
        <v>1.8797999999999999</v>
      </c>
      <c r="U40" s="1">
        <v>2.6756000000000002</v>
      </c>
      <c r="V40" s="1">
        <v>1.8</v>
      </c>
      <c r="W40" s="1">
        <v>100.6</v>
      </c>
      <c r="X40" s="1">
        <v>1</v>
      </c>
      <c r="Y40" s="1">
        <v>1.5343</v>
      </c>
      <c r="AA40" s="1">
        <v>0.66590000000000005</v>
      </c>
      <c r="AB40" s="1">
        <v>-0.82369999999999999</v>
      </c>
      <c r="AC40" s="1">
        <v>0.2324</v>
      </c>
      <c r="AD40" s="1">
        <v>4.0122999999999998</v>
      </c>
      <c r="AE40" s="1">
        <v>5.0439999999999996</v>
      </c>
      <c r="AF40" s="1">
        <v>2.1484000000000001</v>
      </c>
    </row>
    <row r="41" spans="1:32" s="1" customFormat="1" ht="11.25" x14ac:dyDescent="0.2">
      <c r="A41" s="1">
        <v>24</v>
      </c>
      <c r="B41" s="1">
        <v>1</v>
      </c>
      <c r="C41" s="1">
        <v>24.9</v>
      </c>
      <c r="D41" s="1">
        <v>1</v>
      </c>
      <c r="E41" s="1">
        <v>2.04</v>
      </c>
      <c r="F41" s="1">
        <v>0.77739999999999998</v>
      </c>
      <c r="G41" s="1">
        <v>0.5302</v>
      </c>
      <c r="H41" s="1">
        <v>-0.58620000000000005</v>
      </c>
      <c r="I41" s="1">
        <v>1.6999999999999999E-3</v>
      </c>
      <c r="J41" s="1">
        <v>3.4287000000000001</v>
      </c>
      <c r="K41" s="1">
        <v>3.8447</v>
      </c>
      <c r="L41" s="1">
        <v>2.2338</v>
      </c>
      <c r="M41" s="1">
        <v>-55.2</v>
      </c>
      <c r="N41" s="1">
        <v>1</v>
      </c>
      <c r="O41" s="1">
        <v>2.4716999999999998</v>
      </c>
      <c r="P41" s="1">
        <v>0.8952</v>
      </c>
      <c r="Q41" s="1">
        <v>0.61280000000000001</v>
      </c>
      <c r="R41" s="1">
        <v>-0.72189999999999999</v>
      </c>
      <c r="S41" s="1">
        <v>3.2000000000000002E-3</v>
      </c>
      <c r="T41" s="1">
        <v>1.8949</v>
      </c>
      <c r="U41" s="1">
        <v>2.698</v>
      </c>
      <c r="V41" s="1">
        <v>2.0663</v>
      </c>
      <c r="W41" s="1">
        <v>100.3</v>
      </c>
      <c r="X41" s="1">
        <v>1</v>
      </c>
      <c r="Y41" s="1">
        <v>1.5366</v>
      </c>
      <c r="AA41" s="1">
        <v>0.496</v>
      </c>
      <c r="AB41" s="1">
        <v>-0.68020000000000003</v>
      </c>
      <c r="AC41" s="1">
        <v>0.17519999999999999</v>
      </c>
      <c r="AD41" s="1">
        <v>4.0637999999999996</v>
      </c>
      <c r="AE41" s="1">
        <v>5.0555000000000003</v>
      </c>
      <c r="AF41" s="1">
        <v>2.4152999999999998</v>
      </c>
    </row>
    <row r="42" spans="1:32" s="1" customFormat="1" ht="11.25" x14ac:dyDescent="0.2">
      <c r="A42" s="1">
        <v>25</v>
      </c>
      <c r="B42" s="1">
        <v>1</v>
      </c>
      <c r="C42" s="1">
        <v>25</v>
      </c>
      <c r="D42" s="1">
        <v>1</v>
      </c>
      <c r="E42" s="1">
        <v>1.9295</v>
      </c>
      <c r="F42" s="1">
        <v>0.77580000000000005</v>
      </c>
      <c r="G42" s="1">
        <v>0.39129999999999998</v>
      </c>
      <c r="H42" s="1">
        <v>-0.50790000000000002</v>
      </c>
      <c r="I42" s="1">
        <v>1.5E-3</v>
      </c>
      <c r="J42" s="1">
        <v>3.4815999999999998</v>
      </c>
      <c r="K42" s="1">
        <v>3.8374999999999999</v>
      </c>
      <c r="L42" s="1">
        <v>2.2995999999999999</v>
      </c>
      <c r="M42" s="1">
        <v>-55.3</v>
      </c>
      <c r="N42" s="1">
        <v>1</v>
      </c>
      <c r="O42" s="1">
        <v>2.3395000000000001</v>
      </c>
      <c r="P42" s="1">
        <v>0.89490000000000003</v>
      </c>
      <c r="Q42" s="1">
        <v>0.46929999999999999</v>
      </c>
      <c r="R42" s="1">
        <v>-0.63680000000000003</v>
      </c>
      <c r="S42" s="1">
        <v>7.0000000000000001E-3</v>
      </c>
      <c r="T42" s="1">
        <v>1.9978</v>
      </c>
      <c r="U42" s="1">
        <v>2.7322000000000002</v>
      </c>
      <c r="V42" s="1">
        <v>2.1315</v>
      </c>
      <c r="W42" s="1">
        <v>100.8</v>
      </c>
      <c r="X42" s="1">
        <v>1</v>
      </c>
      <c r="Y42" s="1">
        <v>1.4435</v>
      </c>
      <c r="AA42" s="1">
        <v>0.59260000000000002</v>
      </c>
      <c r="AB42" s="1">
        <v>-0.70940000000000003</v>
      </c>
      <c r="AC42" s="1">
        <v>0.1885</v>
      </c>
      <c r="AD42" s="1">
        <v>4.0934999999999997</v>
      </c>
      <c r="AE42" s="1">
        <v>5.0930999999999997</v>
      </c>
      <c r="AF42" s="1">
        <v>2.4809000000000001</v>
      </c>
    </row>
    <row r="43" spans="1:32" s="1" customFormat="1" ht="11.25" x14ac:dyDescent="0.2">
      <c r="A43" s="1">
        <v>26</v>
      </c>
      <c r="B43" s="1">
        <v>1</v>
      </c>
      <c r="C43" s="1">
        <v>25</v>
      </c>
      <c r="D43" s="1">
        <v>1</v>
      </c>
      <c r="E43" s="1">
        <v>1.9267000000000001</v>
      </c>
      <c r="F43" s="1">
        <v>0.77510000000000001</v>
      </c>
      <c r="G43" s="1">
        <v>0.50690000000000002</v>
      </c>
      <c r="H43" s="1">
        <v>-0.55530000000000002</v>
      </c>
      <c r="I43" s="1">
        <v>1.4E-3</v>
      </c>
      <c r="J43" s="1">
        <v>3.4788000000000001</v>
      </c>
      <c r="K43" s="1">
        <v>3.8317000000000001</v>
      </c>
      <c r="L43" s="1">
        <v>2.2978000000000001</v>
      </c>
      <c r="M43" s="1">
        <v>-55.3</v>
      </c>
      <c r="N43" s="1">
        <v>1</v>
      </c>
      <c r="O43" s="1">
        <v>2.3412000000000002</v>
      </c>
      <c r="P43" s="1">
        <v>0.8931</v>
      </c>
      <c r="Q43" s="1">
        <v>0.43359999999999999</v>
      </c>
      <c r="R43" s="1">
        <v>-0.5827</v>
      </c>
      <c r="S43" s="1">
        <v>1.38E-2</v>
      </c>
      <c r="T43" s="1">
        <v>2.0017</v>
      </c>
      <c r="U43" s="1">
        <v>2.7355999999999998</v>
      </c>
      <c r="V43" s="1">
        <v>2.1232000000000002</v>
      </c>
      <c r="W43" s="1">
        <v>100.5</v>
      </c>
      <c r="X43" s="1">
        <v>1</v>
      </c>
      <c r="Y43" s="1">
        <v>1.4426000000000001</v>
      </c>
      <c r="AA43" s="1">
        <v>0.53779999999999994</v>
      </c>
      <c r="AB43" s="1">
        <v>-0.67930000000000001</v>
      </c>
      <c r="AC43" s="1">
        <v>0.17230000000000001</v>
      </c>
      <c r="AD43" s="1">
        <v>4.0712999999999999</v>
      </c>
      <c r="AE43" s="1">
        <v>5.0057999999999998</v>
      </c>
      <c r="AF43" s="1">
        <v>2.4763999999999999</v>
      </c>
    </row>
    <row r="44" spans="1:32" s="1" customFormat="1" ht="11.25" x14ac:dyDescent="0.2">
      <c r="A44" s="1">
        <v>27</v>
      </c>
      <c r="B44" s="1">
        <v>1</v>
      </c>
      <c r="C44" s="1">
        <v>25.1</v>
      </c>
      <c r="D44" s="1">
        <v>1</v>
      </c>
      <c r="E44" s="1">
        <v>2.0998000000000001</v>
      </c>
      <c r="F44" s="1">
        <v>0.78049999999999997</v>
      </c>
      <c r="G44" s="1">
        <v>0.53600000000000003</v>
      </c>
      <c r="H44" s="1">
        <v>-0.64410000000000001</v>
      </c>
      <c r="I44" s="1">
        <v>1.5E-3</v>
      </c>
      <c r="J44" s="1">
        <v>3.3292999999999999</v>
      </c>
      <c r="K44" s="1">
        <v>3.7761999999999998</v>
      </c>
      <c r="L44" s="1">
        <v>1.9038999999999999</v>
      </c>
      <c r="M44" s="1">
        <v>-55.4</v>
      </c>
      <c r="N44" s="1">
        <v>1</v>
      </c>
      <c r="O44" s="1">
        <v>2.5522</v>
      </c>
      <c r="P44" s="1">
        <v>0.89770000000000005</v>
      </c>
      <c r="Q44" s="1">
        <v>0.52529999999999999</v>
      </c>
      <c r="R44" s="1">
        <v>-0.58079999999999998</v>
      </c>
      <c r="S44" s="1">
        <v>1.9199999999999998E-2</v>
      </c>
      <c r="T44" s="1">
        <v>1.8395999999999999</v>
      </c>
      <c r="U44" s="1">
        <v>2.6892</v>
      </c>
      <c r="V44" s="1">
        <v>1.7377</v>
      </c>
      <c r="W44" s="1">
        <v>100</v>
      </c>
      <c r="X44" s="1">
        <v>1</v>
      </c>
      <c r="Y44" s="1">
        <v>1.5760000000000001</v>
      </c>
      <c r="AA44" s="1">
        <v>0.62080000000000002</v>
      </c>
      <c r="AB44" s="1">
        <v>-0.68520000000000003</v>
      </c>
      <c r="AC44" s="1">
        <v>0.187</v>
      </c>
      <c r="AD44" s="1">
        <v>3.9104000000000001</v>
      </c>
      <c r="AE44" s="1">
        <v>4.9717000000000002</v>
      </c>
      <c r="AF44" s="1">
        <v>2.0718000000000001</v>
      </c>
    </row>
    <row r="45" spans="1:32" s="1" customFormat="1" ht="11.25" x14ac:dyDescent="0.2">
      <c r="A45" s="1">
        <v>28</v>
      </c>
      <c r="B45" s="1">
        <v>1</v>
      </c>
      <c r="C45" s="1">
        <v>24.9</v>
      </c>
      <c r="D45" s="1">
        <v>1</v>
      </c>
      <c r="E45" s="1">
        <v>2.0146000000000002</v>
      </c>
      <c r="F45" s="1">
        <v>0.7792</v>
      </c>
      <c r="G45" s="1">
        <v>0.49370000000000003</v>
      </c>
      <c r="H45" s="1">
        <v>-0.60580000000000001</v>
      </c>
      <c r="I45" s="1">
        <v>1.5E-3</v>
      </c>
      <c r="J45" s="1">
        <v>3.4283999999999999</v>
      </c>
      <c r="K45" s="1">
        <v>3.8353000000000002</v>
      </c>
      <c r="L45" s="1">
        <v>2.0939999999999999</v>
      </c>
      <c r="M45" s="1">
        <v>-55.4</v>
      </c>
      <c r="N45" s="1">
        <v>1</v>
      </c>
      <c r="O45" s="1">
        <v>2.4405999999999999</v>
      </c>
      <c r="P45" s="1">
        <v>0.89829999999999999</v>
      </c>
      <c r="Q45" s="1">
        <v>0.54390000000000005</v>
      </c>
      <c r="R45" s="1">
        <v>-0.58930000000000005</v>
      </c>
      <c r="S45" s="1">
        <v>1.84E-2</v>
      </c>
      <c r="T45" s="1">
        <v>1.95</v>
      </c>
      <c r="U45" s="1">
        <v>2.7179000000000002</v>
      </c>
      <c r="V45" s="1">
        <v>1.9191</v>
      </c>
      <c r="W45" s="1">
        <v>101</v>
      </c>
      <c r="X45" s="1">
        <v>1</v>
      </c>
      <c r="Y45" s="1">
        <v>1.5039</v>
      </c>
      <c r="AA45" s="1">
        <v>0.61160000000000003</v>
      </c>
      <c r="AB45" s="1">
        <v>-0.73050000000000004</v>
      </c>
      <c r="AC45" s="1">
        <v>0.19869999999999999</v>
      </c>
      <c r="AD45" s="1">
        <v>4.0435999999999996</v>
      </c>
      <c r="AE45" s="1">
        <v>4.9938000000000002</v>
      </c>
      <c r="AF45" s="1">
        <v>2.2722000000000002</v>
      </c>
    </row>
    <row r="46" spans="1:32" s="1" customFormat="1" ht="11.25" x14ac:dyDescent="0.2">
      <c r="A46" s="1">
        <v>29</v>
      </c>
      <c r="B46" s="1">
        <v>1</v>
      </c>
      <c r="C46" s="1">
        <v>25</v>
      </c>
      <c r="D46" s="1">
        <v>1</v>
      </c>
      <c r="E46" s="1">
        <v>1.9941</v>
      </c>
      <c r="F46" s="1">
        <v>0.77639999999999998</v>
      </c>
      <c r="G46" s="1">
        <v>0.53120000000000001</v>
      </c>
      <c r="H46" s="1">
        <v>-0.53639999999999999</v>
      </c>
      <c r="I46" s="1">
        <v>1.2999999999999999E-3</v>
      </c>
      <c r="J46" s="1">
        <v>3.4420000000000002</v>
      </c>
      <c r="K46" s="1">
        <v>3.8210999999999999</v>
      </c>
      <c r="L46" s="1">
        <v>2.1541000000000001</v>
      </c>
      <c r="M46" s="1">
        <v>-55.1</v>
      </c>
      <c r="N46" s="1">
        <v>1</v>
      </c>
      <c r="O46" s="1">
        <v>2.4163999999999999</v>
      </c>
      <c r="P46" s="1">
        <v>0.89439999999999997</v>
      </c>
      <c r="Q46" s="1">
        <v>0.5393</v>
      </c>
      <c r="R46" s="1">
        <v>-0.70640000000000003</v>
      </c>
      <c r="S46" s="1">
        <v>8.6999999999999994E-3</v>
      </c>
      <c r="T46" s="1">
        <v>1.9812000000000001</v>
      </c>
      <c r="U46" s="1">
        <v>2.7591999999999999</v>
      </c>
      <c r="V46" s="1">
        <v>1.986</v>
      </c>
      <c r="W46" s="1">
        <v>100.8</v>
      </c>
      <c r="X46" s="1">
        <v>1</v>
      </c>
      <c r="Y46" s="1">
        <v>1.5084</v>
      </c>
      <c r="AA46" s="1">
        <v>0.51100000000000001</v>
      </c>
      <c r="AB46" s="1">
        <v>-0.58309999999999995</v>
      </c>
      <c r="AC46" s="1">
        <v>0.1741</v>
      </c>
      <c r="AD46" s="1">
        <v>3.9956</v>
      </c>
      <c r="AE46" s="1">
        <v>4.9545000000000003</v>
      </c>
      <c r="AF46" s="1">
        <v>2.3289</v>
      </c>
    </row>
    <row r="47" spans="1:32" s="1" customFormat="1" ht="11.25" x14ac:dyDescent="0.2">
      <c r="A47" s="1">
        <v>30</v>
      </c>
      <c r="B47" s="1">
        <v>1</v>
      </c>
      <c r="C47" s="1">
        <v>24.9</v>
      </c>
      <c r="D47" s="1">
        <v>1</v>
      </c>
      <c r="E47" s="1">
        <v>1.9323999999999999</v>
      </c>
      <c r="F47" s="1">
        <v>0.77490000000000003</v>
      </c>
      <c r="G47" s="1">
        <v>0.44309999999999999</v>
      </c>
      <c r="H47" s="1">
        <v>-0.49959999999999999</v>
      </c>
      <c r="I47" s="1">
        <v>1.6999999999999999E-3</v>
      </c>
      <c r="J47" s="1">
        <v>3.3233999999999999</v>
      </c>
      <c r="K47" s="1">
        <v>3.7360000000000002</v>
      </c>
      <c r="L47" s="1">
        <v>2.2667000000000002</v>
      </c>
      <c r="M47" s="1">
        <v>-55.4</v>
      </c>
      <c r="N47" s="1">
        <v>1</v>
      </c>
      <c r="O47" s="1">
        <v>2.3603999999999998</v>
      </c>
      <c r="P47" s="1">
        <v>0.89480000000000004</v>
      </c>
      <c r="Q47" s="1">
        <v>0.60019999999999996</v>
      </c>
      <c r="R47" s="1">
        <v>-0.71020000000000005</v>
      </c>
      <c r="S47" s="1">
        <v>2.01E-2</v>
      </c>
      <c r="T47" s="1">
        <v>1.8822000000000001</v>
      </c>
      <c r="U47" s="1">
        <v>2.6383999999999999</v>
      </c>
      <c r="V47" s="1">
        <v>2.0911</v>
      </c>
      <c r="W47" s="1">
        <v>100.6</v>
      </c>
      <c r="X47" s="1">
        <v>1</v>
      </c>
      <c r="Y47" s="1">
        <v>1.4349000000000001</v>
      </c>
      <c r="AA47" s="1">
        <v>0.54379999999999995</v>
      </c>
      <c r="AB47" s="1">
        <v>-0.624</v>
      </c>
      <c r="AC47" s="1">
        <v>0.1923</v>
      </c>
      <c r="AD47" s="1">
        <v>4.0793999999999997</v>
      </c>
      <c r="AE47" s="1">
        <v>4.9958999999999998</v>
      </c>
      <c r="AF47" s="1">
        <v>2.4466999999999999</v>
      </c>
    </row>
    <row r="48" spans="1:32" s="1" customFormat="1" ht="11.25" x14ac:dyDescent="0.2">
      <c r="A48" s="1">
        <v>31</v>
      </c>
      <c r="B48" s="1">
        <v>1</v>
      </c>
      <c r="C48" s="1">
        <v>24.9</v>
      </c>
      <c r="D48" s="1">
        <v>1</v>
      </c>
      <c r="E48" s="1">
        <v>1.9737</v>
      </c>
      <c r="F48" s="1">
        <v>0.78439999999999999</v>
      </c>
      <c r="G48" s="1">
        <v>0.46760000000000002</v>
      </c>
      <c r="H48" s="1">
        <v>-0.49609999999999999</v>
      </c>
      <c r="I48" s="1">
        <v>1.4E-3</v>
      </c>
      <c r="J48" s="1">
        <v>3.3161</v>
      </c>
      <c r="K48" s="1">
        <v>4.16</v>
      </c>
      <c r="L48" s="1">
        <v>1.8413999999999999</v>
      </c>
      <c r="M48" s="1">
        <v>-55.3</v>
      </c>
      <c r="N48" s="1">
        <v>1</v>
      </c>
      <c r="O48" s="1">
        <v>2.3740000000000001</v>
      </c>
      <c r="P48" s="1">
        <v>0.90110000000000001</v>
      </c>
      <c r="Q48" s="1">
        <v>0.59</v>
      </c>
      <c r="R48" s="1">
        <v>-0.83809999999999996</v>
      </c>
      <c r="S48" s="1">
        <v>1.9800000000000002E-2</v>
      </c>
      <c r="T48" s="1">
        <v>1.8517999999999999</v>
      </c>
      <c r="U48" s="1">
        <v>3.0762999999999998</v>
      </c>
      <c r="V48" s="1">
        <v>1.6797</v>
      </c>
      <c r="W48" s="1">
        <v>100.7</v>
      </c>
      <c r="X48" s="1">
        <v>1</v>
      </c>
      <c r="Y48" s="1">
        <v>1.5061</v>
      </c>
      <c r="AA48" s="1">
        <v>0.50760000000000005</v>
      </c>
      <c r="AB48" s="1">
        <v>-0.67959999999999998</v>
      </c>
      <c r="AC48" s="1">
        <v>0.1668</v>
      </c>
      <c r="AD48" s="1">
        <v>3.9721000000000002</v>
      </c>
      <c r="AE48" s="1">
        <v>5.3254000000000001</v>
      </c>
      <c r="AF48" s="1">
        <v>2.0078999999999998</v>
      </c>
    </row>
    <row r="49" spans="1:32" s="1" customFormat="1" ht="11.25" x14ac:dyDescent="0.2">
      <c r="A49" s="1">
        <v>32</v>
      </c>
      <c r="B49" s="1">
        <v>1</v>
      </c>
      <c r="C49" s="1">
        <v>25</v>
      </c>
      <c r="D49" s="1">
        <v>1</v>
      </c>
      <c r="E49" s="1">
        <v>2.0489999999999999</v>
      </c>
      <c r="F49" s="1">
        <v>0.78269999999999995</v>
      </c>
      <c r="G49" s="1">
        <v>0.5222</v>
      </c>
      <c r="H49" s="1">
        <v>-0.6159</v>
      </c>
      <c r="I49" s="1">
        <v>1.2999999999999999E-3</v>
      </c>
      <c r="J49" s="1">
        <v>3.3277999999999999</v>
      </c>
      <c r="K49" s="1">
        <v>3.7732999999999999</v>
      </c>
      <c r="L49" s="1">
        <v>1.8327</v>
      </c>
      <c r="M49" s="1">
        <v>-55.3</v>
      </c>
      <c r="N49" s="1">
        <v>1</v>
      </c>
      <c r="O49" s="1">
        <v>2.4830000000000001</v>
      </c>
      <c r="P49" s="1">
        <v>0.89949999999999997</v>
      </c>
      <c r="Q49" s="1">
        <v>0.64149999999999996</v>
      </c>
      <c r="R49" s="1">
        <v>-0.75729999999999997</v>
      </c>
      <c r="S49" s="1">
        <v>1.41E-2</v>
      </c>
      <c r="T49" s="1">
        <v>1.8393999999999999</v>
      </c>
      <c r="U49" s="1">
        <v>2.6623999999999999</v>
      </c>
      <c r="V49" s="1">
        <v>1.6726000000000001</v>
      </c>
      <c r="W49" s="1">
        <v>101.6</v>
      </c>
      <c r="X49" s="1">
        <v>1</v>
      </c>
      <c r="Y49" s="1">
        <v>1.5410999999999999</v>
      </c>
      <c r="AA49" s="1">
        <v>0.63109999999999999</v>
      </c>
      <c r="AB49" s="1">
        <v>-0.73939999999999995</v>
      </c>
      <c r="AC49" s="1">
        <v>0.17630000000000001</v>
      </c>
      <c r="AD49" s="1">
        <v>3.9342000000000001</v>
      </c>
      <c r="AE49" s="1">
        <v>4.9626999999999999</v>
      </c>
      <c r="AF49" s="1">
        <v>1.9965999999999999</v>
      </c>
    </row>
    <row r="50" spans="1:32" s="1" customFormat="1" ht="11.25" x14ac:dyDescent="0.2">
      <c r="A50" s="1">
        <v>33</v>
      </c>
      <c r="B50" s="1">
        <v>1</v>
      </c>
      <c r="C50" s="1">
        <v>25.1</v>
      </c>
      <c r="D50" s="1">
        <v>1</v>
      </c>
      <c r="E50" s="1">
        <v>1.9337</v>
      </c>
      <c r="F50" s="1">
        <v>0.77569999999999995</v>
      </c>
      <c r="G50" s="1">
        <v>0.54400000000000004</v>
      </c>
      <c r="H50" s="1">
        <v>-0.57640000000000002</v>
      </c>
      <c r="I50" s="1">
        <v>1.6000000000000001E-3</v>
      </c>
      <c r="J50" s="1">
        <v>3.4260000000000002</v>
      </c>
      <c r="K50" s="1">
        <v>3.7793000000000001</v>
      </c>
      <c r="L50" s="1">
        <v>2.2359</v>
      </c>
      <c r="M50" s="1">
        <v>-55.3</v>
      </c>
      <c r="N50" s="1">
        <v>1</v>
      </c>
      <c r="O50" s="1">
        <v>2.3515999999999999</v>
      </c>
      <c r="P50" s="1">
        <v>0.89410000000000001</v>
      </c>
      <c r="Q50" s="1">
        <v>0.62709999999999999</v>
      </c>
      <c r="R50" s="1">
        <v>-0.74099999999999999</v>
      </c>
      <c r="S50" s="1">
        <v>6.6E-3</v>
      </c>
      <c r="T50" s="1">
        <v>1.9674</v>
      </c>
      <c r="U50" s="1">
        <v>2.6819999999999999</v>
      </c>
      <c r="V50" s="1">
        <v>2.0672000000000001</v>
      </c>
      <c r="W50" s="1">
        <v>100.5</v>
      </c>
      <c r="X50" s="1">
        <v>1</v>
      </c>
      <c r="Y50" s="1">
        <v>1.4455</v>
      </c>
      <c r="AA50" s="1">
        <v>0.53700000000000003</v>
      </c>
      <c r="AB50" s="1">
        <v>-0.68740000000000001</v>
      </c>
      <c r="AC50" s="1">
        <v>0.19020000000000001</v>
      </c>
      <c r="AD50" s="1">
        <v>4.0399000000000003</v>
      </c>
      <c r="AE50" s="1">
        <v>4.9878</v>
      </c>
      <c r="AF50" s="1">
        <v>2.4154</v>
      </c>
    </row>
    <row r="51" spans="1:32" s="1" customFormat="1" ht="11.25" x14ac:dyDescent="0.2">
      <c r="A51" s="1">
        <v>34</v>
      </c>
      <c r="B51" s="1">
        <v>1</v>
      </c>
      <c r="C51" s="1">
        <v>25</v>
      </c>
      <c r="D51" s="1">
        <v>1</v>
      </c>
      <c r="E51" s="1">
        <v>2.3010999999999999</v>
      </c>
      <c r="F51" s="1">
        <v>0.79010000000000002</v>
      </c>
      <c r="G51" s="1">
        <v>0.43059999999999998</v>
      </c>
      <c r="H51" s="1">
        <v>-0.48849999999999999</v>
      </c>
      <c r="I51" s="1">
        <v>1.6000000000000001E-3</v>
      </c>
      <c r="J51" s="1">
        <v>3.3957000000000002</v>
      </c>
      <c r="K51" s="1">
        <v>4.0689000000000002</v>
      </c>
      <c r="L51" s="1">
        <v>1.8404</v>
      </c>
      <c r="M51" s="1">
        <v>-55.1</v>
      </c>
      <c r="N51" s="1">
        <v>1</v>
      </c>
      <c r="O51" s="1">
        <v>2.7825000000000002</v>
      </c>
      <c r="P51" s="1">
        <v>0.90280000000000005</v>
      </c>
      <c r="Q51" s="1">
        <v>0.53010000000000002</v>
      </c>
      <c r="R51" s="1">
        <v>-0.62649999999999995</v>
      </c>
      <c r="S51" s="1">
        <v>7.1000000000000004E-3</v>
      </c>
      <c r="T51" s="1">
        <v>1.8782000000000001</v>
      </c>
      <c r="U51" s="1">
        <v>3.0990000000000002</v>
      </c>
      <c r="V51" s="1">
        <v>1.6861999999999999</v>
      </c>
      <c r="W51" s="1">
        <v>100.2</v>
      </c>
      <c r="X51" s="1">
        <v>1</v>
      </c>
      <c r="Y51" s="1">
        <v>1.7447999999999999</v>
      </c>
      <c r="AA51" s="1">
        <v>0.59599999999999997</v>
      </c>
      <c r="AB51" s="1">
        <v>-0.68</v>
      </c>
      <c r="AC51" s="1">
        <v>0.13589999999999999</v>
      </c>
      <c r="AD51" s="1">
        <v>3.9493</v>
      </c>
      <c r="AE51" s="1">
        <v>5.2207999999999997</v>
      </c>
      <c r="AF51" s="1">
        <v>2.0021</v>
      </c>
    </row>
    <row r="52" spans="1:32" s="1" customFormat="1" ht="11.25" x14ac:dyDescent="0.2">
      <c r="A52" s="1">
        <v>35</v>
      </c>
      <c r="B52" s="1">
        <v>1</v>
      </c>
      <c r="C52" s="1">
        <v>25.1</v>
      </c>
      <c r="D52" s="1">
        <v>1</v>
      </c>
      <c r="E52" s="1">
        <v>1.9302999999999999</v>
      </c>
      <c r="F52" s="1">
        <v>0.77669999999999995</v>
      </c>
      <c r="G52" s="1">
        <v>0.43569999999999998</v>
      </c>
      <c r="H52" s="1">
        <v>-0.54490000000000005</v>
      </c>
      <c r="I52" s="1">
        <v>1.9E-3</v>
      </c>
      <c r="J52" s="1">
        <v>3.4771000000000001</v>
      </c>
      <c r="K52" s="1">
        <v>3.8982000000000001</v>
      </c>
      <c r="L52" s="1">
        <v>2.2532999999999999</v>
      </c>
      <c r="M52" s="1">
        <v>-55.2</v>
      </c>
      <c r="N52" s="1">
        <v>1</v>
      </c>
      <c r="O52" s="1">
        <v>2.3361000000000001</v>
      </c>
      <c r="P52" s="1">
        <v>0.8952</v>
      </c>
      <c r="Q52" s="1">
        <v>0.54720000000000002</v>
      </c>
      <c r="R52" s="1">
        <v>-0.69189999999999996</v>
      </c>
      <c r="S52" s="1">
        <v>1.83E-2</v>
      </c>
      <c r="T52" s="1">
        <v>2.0184000000000002</v>
      </c>
      <c r="U52" s="1">
        <v>2.7814999999999999</v>
      </c>
      <c r="V52" s="1">
        <v>2.0796000000000001</v>
      </c>
      <c r="W52" s="1">
        <v>100.6</v>
      </c>
      <c r="X52" s="1">
        <v>1</v>
      </c>
      <c r="Y52" s="1">
        <v>1.4483999999999999</v>
      </c>
      <c r="AA52" s="1">
        <v>0.46260000000000001</v>
      </c>
      <c r="AB52" s="1">
        <v>-0.64200000000000002</v>
      </c>
      <c r="AC52" s="1">
        <v>0.18870000000000001</v>
      </c>
      <c r="AD52" s="1">
        <v>4.1883999999999997</v>
      </c>
      <c r="AE52" s="1">
        <v>5.1059999999999999</v>
      </c>
      <c r="AF52" s="1">
        <v>2.4329999999999998</v>
      </c>
    </row>
    <row r="53" spans="1:32" s="1" customFormat="1" ht="11.25" x14ac:dyDescent="0.2">
      <c r="A53" s="1">
        <v>36</v>
      </c>
      <c r="B53" s="1">
        <v>1</v>
      </c>
      <c r="C53" s="1">
        <v>24.9</v>
      </c>
      <c r="D53" s="1">
        <v>1</v>
      </c>
      <c r="E53" s="1">
        <v>2.0219</v>
      </c>
      <c r="F53" s="1">
        <v>0.78010000000000002</v>
      </c>
      <c r="G53" s="1">
        <v>0.54069999999999996</v>
      </c>
      <c r="H53" s="1">
        <v>-0.6321</v>
      </c>
      <c r="I53" s="1">
        <v>1.4E-3</v>
      </c>
      <c r="J53" s="1">
        <v>3.3683999999999998</v>
      </c>
      <c r="K53" s="1">
        <v>3.8132000000000001</v>
      </c>
      <c r="L53" s="1">
        <v>1.9865999999999999</v>
      </c>
      <c r="M53" s="1">
        <v>-55.4</v>
      </c>
      <c r="N53" s="1">
        <v>1</v>
      </c>
      <c r="O53" s="1">
        <v>2.4358</v>
      </c>
      <c r="P53" s="1">
        <v>0.89659999999999995</v>
      </c>
      <c r="Q53" s="1">
        <v>0.61250000000000004</v>
      </c>
      <c r="R53" s="1">
        <v>-0.8659</v>
      </c>
      <c r="S53" s="1">
        <v>3.7000000000000002E-3</v>
      </c>
      <c r="T53" s="1">
        <v>1.9226000000000001</v>
      </c>
      <c r="U53" s="1">
        <v>2.7454999999999998</v>
      </c>
      <c r="V53" s="1">
        <v>1.8311999999999999</v>
      </c>
      <c r="W53" s="1">
        <v>100.8</v>
      </c>
      <c r="X53" s="1">
        <v>1</v>
      </c>
      <c r="Y53" s="1">
        <v>1.5349999999999999</v>
      </c>
      <c r="AA53" s="1">
        <v>0.56240000000000001</v>
      </c>
      <c r="AB53" s="1">
        <v>-0.6774</v>
      </c>
      <c r="AC53" s="1">
        <v>0.17319999999999999</v>
      </c>
      <c r="AD53" s="1">
        <v>3.9489999999999998</v>
      </c>
      <c r="AE53" s="1">
        <v>5.0096999999999996</v>
      </c>
      <c r="AF53" s="1">
        <v>2.1568999999999998</v>
      </c>
    </row>
    <row r="54" spans="1:32" s="1" customFormat="1" ht="11.25" x14ac:dyDescent="0.2">
      <c r="A54" s="1">
        <v>37</v>
      </c>
      <c r="B54" s="1">
        <v>1</v>
      </c>
      <c r="C54" s="1">
        <v>25</v>
      </c>
      <c r="D54" s="1">
        <v>1</v>
      </c>
      <c r="E54" s="1">
        <v>1.9345000000000001</v>
      </c>
      <c r="F54" s="1">
        <v>0.77490000000000003</v>
      </c>
      <c r="G54" s="1">
        <v>0.5454</v>
      </c>
      <c r="H54" s="1">
        <v>-0.61109999999999998</v>
      </c>
      <c r="I54" s="1">
        <v>1.4E-3</v>
      </c>
      <c r="J54" s="1">
        <v>3.4310999999999998</v>
      </c>
      <c r="K54" s="1">
        <v>3.8218000000000001</v>
      </c>
      <c r="L54" s="1">
        <v>2.2427000000000001</v>
      </c>
      <c r="M54" s="1">
        <v>-55.3</v>
      </c>
      <c r="N54" s="1">
        <v>1</v>
      </c>
      <c r="O54" s="1">
        <v>2.3298000000000001</v>
      </c>
      <c r="P54" s="1">
        <v>0.89219999999999999</v>
      </c>
      <c r="Q54" s="1">
        <v>0.88880000000000003</v>
      </c>
      <c r="R54" s="1">
        <v>-2.9714</v>
      </c>
      <c r="S54" s="1">
        <v>2.2000000000000001E-3</v>
      </c>
      <c r="T54" s="1">
        <v>1.9575</v>
      </c>
      <c r="U54" s="1">
        <v>2.7159</v>
      </c>
      <c r="V54" s="1">
        <v>2.0792999999999999</v>
      </c>
      <c r="W54" s="1">
        <v>100.8</v>
      </c>
      <c r="X54" s="1">
        <v>1</v>
      </c>
      <c r="Y54" s="1">
        <v>1.4704999999999999</v>
      </c>
      <c r="AA54" s="1">
        <v>0.5806</v>
      </c>
      <c r="AB54" s="1">
        <v>-0.70540000000000003</v>
      </c>
      <c r="AC54" s="1">
        <v>0.1623</v>
      </c>
      <c r="AD54" s="1">
        <v>4.0799000000000003</v>
      </c>
      <c r="AE54" s="1">
        <v>5.0206999999999997</v>
      </c>
      <c r="AF54" s="1">
        <v>2.4192999999999998</v>
      </c>
    </row>
    <row r="55" spans="1:32" s="1" customFormat="1" ht="11.25" x14ac:dyDescent="0.2">
      <c r="A55" s="1">
        <v>38</v>
      </c>
      <c r="B55" s="1">
        <v>1</v>
      </c>
      <c r="C55" s="1">
        <v>25</v>
      </c>
      <c r="D55" s="1">
        <v>1</v>
      </c>
      <c r="E55" s="1">
        <v>2.1606000000000001</v>
      </c>
      <c r="F55" s="1">
        <v>0.78620000000000001</v>
      </c>
      <c r="G55" s="1">
        <v>0.44769999999999999</v>
      </c>
      <c r="H55" s="1">
        <v>-0.56530000000000002</v>
      </c>
      <c r="I55" s="1">
        <v>1E-3</v>
      </c>
      <c r="J55" s="1">
        <v>3.2822</v>
      </c>
      <c r="K55" s="1">
        <v>3.8774999999999999</v>
      </c>
      <c r="L55" s="1">
        <v>1.7367999999999999</v>
      </c>
      <c r="M55" s="1">
        <v>-55.2</v>
      </c>
      <c r="N55" s="1">
        <v>1</v>
      </c>
      <c r="O55" s="1">
        <v>2.6097999999999999</v>
      </c>
      <c r="P55" s="1">
        <v>0.90069999999999995</v>
      </c>
      <c r="Q55" s="1">
        <v>0.70740000000000003</v>
      </c>
      <c r="R55" s="1">
        <v>-0.85109999999999997</v>
      </c>
      <c r="S55" s="1">
        <v>1.3599999999999999E-2</v>
      </c>
      <c r="T55" s="1">
        <v>1.8208</v>
      </c>
      <c r="U55" s="1">
        <v>2.8365</v>
      </c>
      <c r="V55" s="1">
        <v>1.5811999999999999</v>
      </c>
      <c r="W55" s="1">
        <v>100</v>
      </c>
      <c r="X55" s="1">
        <v>1</v>
      </c>
      <c r="Y55" s="1">
        <v>1.637</v>
      </c>
      <c r="AA55" s="1">
        <v>0.50519999999999998</v>
      </c>
      <c r="AB55" s="1">
        <v>-0.60660000000000003</v>
      </c>
      <c r="AC55" s="1">
        <v>0.17879999999999999</v>
      </c>
      <c r="AD55" s="1">
        <v>3.9279999999999999</v>
      </c>
      <c r="AE55" s="1">
        <v>5.0787000000000004</v>
      </c>
      <c r="AF55" s="1">
        <v>1.8962000000000001</v>
      </c>
    </row>
    <row r="56" spans="1:32" s="1" customFormat="1" ht="11.25" x14ac:dyDescent="0.2">
      <c r="A56" s="1">
        <v>39</v>
      </c>
      <c r="B56" s="1">
        <v>1</v>
      </c>
      <c r="C56" s="1">
        <v>25</v>
      </c>
      <c r="D56" s="1">
        <v>1</v>
      </c>
      <c r="E56" s="1">
        <v>1.9224000000000001</v>
      </c>
      <c r="F56" s="1">
        <v>0.78029999999999999</v>
      </c>
      <c r="G56" s="1">
        <v>0.5323</v>
      </c>
      <c r="H56" s="1">
        <v>-0.63039999999999996</v>
      </c>
      <c r="I56" s="1">
        <v>1.6000000000000001E-3</v>
      </c>
      <c r="J56" s="1">
        <v>3.3767999999999998</v>
      </c>
      <c r="K56" s="1">
        <v>3.9386999999999999</v>
      </c>
      <c r="L56" s="1">
        <v>2.0101</v>
      </c>
      <c r="M56" s="1">
        <v>-55.3</v>
      </c>
      <c r="N56" s="1">
        <v>1</v>
      </c>
      <c r="O56" s="1">
        <v>2.3100999999999998</v>
      </c>
      <c r="P56" s="1">
        <v>0.8962</v>
      </c>
      <c r="Q56" s="1">
        <v>1.8445</v>
      </c>
      <c r="R56" s="1">
        <v>-14.011699999999999</v>
      </c>
      <c r="S56" s="1">
        <v>4.0000000000000002E-4</v>
      </c>
      <c r="T56" s="1">
        <v>1.8993</v>
      </c>
      <c r="U56" s="1">
        <v>2.8628</v>
      </c>
      <c r="V56" s="1">
        <v>1.8552999999999999</v>
      </c>
      <c r="W56" s="1">
        <v>100.8</v>
      </c>
      <c r="X56" s="1">
        <v>1</v>
      </c>
      <c r="Y56" s="1">
        <v>1.4776</v>
      </c>
      <c r="AA56" s="1">
        <v>0.57630000000000003</v>
      </c>
      <c r="AB56" s="1">
        <v>-0.63190000000000002</v>
      </c>
      <c r="AC56" s="1">
        <v>0.15179999999999999</v>
      </c>
      <c r="AD56" s="1">
        <v>4.0023999999999997</v>
      </c>
      <c r="AE56" s="1">
        <v>5.0956999999999999</v>
      </c>
      <c r="AF56" s="1">
        <v>2.1787999999999998</v>
      </c>
    </row>
    <row r="57" spans="1:32" s="1" customFormat="1" ht="11.25" x14ac:dyDescent="0.2">
      <c r="A57" s="1">
        <v>40</v>
      </c>
      <c r="B57" s="1">
        <v>1</v>
      </c>
      <c r="C57" s="1">
        <v>25.1</v>
      </c>
      <c r="D57" s="1">
        <v>1</v>
      </c>
      <c r="E57" s="1">
        <v>1.9872000000000001</v>
      </c>
      <c r="F57" s="1">
        <v>0.78739999999999999</v>
      </c>
      <c r="G57" s="1">
        <v>0.55969999999999998</v>
      </c>
      <c r="H57" s="1">
        <v>-0.63219999999999998</v>
      </c>
      <c r="I57" s="1">
        <v>1.4E-3</v>
      </c>
      <c r="J57" s="1">
        <v>3.403</v>
      </c>
      <c r="K57" s="1">
        <v>4.2877000000000001</v>
      </c>
      <c r="L57" s="1">
        <v>1.7744</v>
      </c>
      <c r="M57" s="1">
        <v>-55.5</v>
      </c>
      <c r="N57" s="1">
        <v>1</v>
      </c>
      <c r="O57" s="1">
        <v>2.3925000000000001</v>
      </c>
      <c r="P57" s="1">
        <v>0.90369999999999995</v>
      </c>
      <c r="Q57" s="1">
        <v>0.48859999999999998</v>
      </c>
      <c r="R57" s="1">
        <v>-0.61860000000000004</v>
      </c>
      <c r="S57" s="1">
        <v>1.9199999999999998E-2</v>
      </c>
      <c r="T57" s="1">
        <v>1.9294</v>
      </c>
      <c r="U57" s="1">
        <v>3.1116999999999999</v>
      </c>
      <c r="V57" s="1">
        <v>1.6134999999999999</v>
      </c>
      <c r="W57" s="1">
        <v>100.8</v>
      </c>
      <c r="X57" s="1">
        <v>1</v>
      </c>
      <c r="Y57" s="1">
        <v>1.5188999999999999</v>
      </c>
      <c r="AA57" s="1">
        <v>0.59309999999999996</v>
      </c>
      <c r="AB57" s="1">
        <v>-0.68279999999999996</v>
      </c>
      <c r="AC57" s="1">
        <v>0.17150000000000001</v>
      </c>
      <c r="AD57" s="1">
        <v>3.9632000000000001</v>
      </c>
      <c r="AE57" s="1">
        <v>5.4687999999999999</v>
      </c>
      <c r="AF57" s="1">
        <v>1.9365000000000001</v>
      </c>
    </row>
    <row r="58" spans="1:32" s="1" customFormat="1" ht="11.25" x14ac:dyDescent="0.2">
      <c r="A58" s="1">
        <v>41</v>
      </c>
      <c r="B58" s="1">
        <v>1</v>
      </c>
      <c r="C58" s="1">
        <v>25</v>
      </c>
      <c r="D58" s="1">
        <v>1</v>
      </c>
      <c r="E58" s="1">
        <v>2.0274000000000001</v>
      </c>
      <c r="F58" s="1">
        <v>0.77669999999999995</v>
      </c>
      <c r="G58" s="1">
        <v>0.55489999999999995</v>
      </c>
      <c r="H58" s="1">
        <v>-0.59909999999999997</v>
      </c>
      <c r="I58" s="1">
        <v>1.9E-3</v>
      </c>
      <c r="J58" s="1">
        <v>3.4036</v>
      </c>
      <c r="K58" s="1">
        <v>3.8553000000000002</v>
      </c>
      <c r="L58" s="1">
        <v>2.262</v>
      </c>
      <c r="M58" s="1">
        <v>-55.4</v>
      </c>
      <c r="N58" s="1">
        <v>1</v>
      </c>
      <c r="O58" s="1">
        <v>2.4655999999999998</v>
      </c>
      <c r="P58" s="1">
        <v>0.89610000000000001</v>
      </c>
      <c r="Q58" s="1">
        <v>0.52170000000000005</v>
      </c>
      <c r="R58" s="1">
        <v>-0.57250000000000001</v>
      </c>
      <c r="S58" s="1">
        <v>1.5900000000000001E-2</v>
      </c>
      <c r="T58" s="1">
        <v>1.9557</v>
      </c>
      <c r="U58" s="1">
        <v>2.7429999999999999</v>
      </c>
      <c r="V58" s="1">
        <v>2.0870000000000002</v>
      </c>
      <c r="W58" s="1">
        <v>100.7</v>
      </c>
      <c r="X58" s="1">
        <v>1</v>
      </c>
      <c r="Y58" s="1">
        <v>1.5103</v>
      </c>
      <c r="AA58" s="1">
        <v>0.62029999999999996</v>
      </c>
      <c r="AB58" s="1">
        <v>-0.72809999999999997</v>
      </c>
      <c r="AC58" s="1">
        <v>0.19520000000000001</v>
      </c>
      <c r="AD58" s="1">
        <v>4.1029</v>
      </c>
      <c r="AE58" s="1">
        <v>5.0820999999999996</v>
      </c>
      <c r="AF58" s="1">
        <v>2.4464000000000001</v>
      </c>
    </row>
    <row r="59" spans="1:32" s="1" customFormat="1" ht="11.25" x14ac:dyDescent="0.2">
      <c r="A59" s="1">
        <v>42</v>
      </c>
      <c r="B59" s="1">
        <v>1</v>
      </c>
      <c r="C59" s="1">
        <v>25</v>
      </c>
      <c r="D59" s="1">
        <v>1</v>
      </c>
      <c r="E59" s="1">
        <v>2.1579999999999999</v>
      </c>
      <c r="F59" s="1">
        <v>0.78310000000000002</v>
      </c>
      <c r="G59" s="1">
        <v>0.54949999999999999</v>
      </c>
      <c r="H59" s="1">
        <v>-0.58679999999999999</v>
      </c>
      <c r="I59" s="1">
        <v>1.2999999999999999E-3</v>
      </c>
      <c r="J59" s="1">
        <v>3.3249</v>
      </c>
      <c r="K59" s="1">
        <v>3.8172999999999999</v>
      </c>
      <c r="L59" s="1">
        <v>1.8349</v>
      </c>
      <c r="M59" s="1">
        <v>-55.4</v>
      </c>
      <c r="N59" s="1">
        <v>1</v>
      </c>
      <c r="O59" s="1">
        <v>2.6202999999999999</v>
      </c>
      <c r="P59" s="1">
        <v>0.89690000000000003</v>
      </c>
      <c r="Q59" s="1">
        <v>0.65</v>
      </c>
      <c r="R59" s="1">
        <v>-0.72740000000000005</v>
      </c>
      <c r="S59" s="1">
        <v>7.0000000000000001E-3</v>
      </c>
      <c r="T59" s="1">
        <v>1.9283999999999999</v>
      </c>
      <c r="U59" s="1">
        <v>2.8212999999999999</v>
      </c>
      <c r="V59" s="1">
        <v>1.6835</v>
      </c>
      <c r="W59" s="1">
        <v>100.6</v>
      </c>
      <c r="X59" s="1">
        <v>1</v>
      </c>
      <c r="Y59" s="1">
        <v>1.6505000000000001</v>
      </c>
      <c r="AA59" s="1">
        <v>0.54559999999999997</v>
      </c>
      <c r="AB59" s="1">
        <v>-0.60940000000000005</v>
      </c>
      <c r="AC59" s="1">
        <v>0.13750000000000001</v>
      </c>
      <c r="AD59" s="1">
        <v>3.8799000000000001</v>
      </c>
      <c r="AE59" s="1">
        <v>4.9725000000000001</v>
      </c>
      <c r="AF59" s="1">
        <v>1.9923</v>
      </c>
    </row>
    <row r="60" spans="1:32" s="1" customFormat="1" ht="11.25" x14ac:dyDescent="0.2">
      <c r="A60" s="1">
        <v>43</v>
      </c>
      <c r="B60" s="1">
        <v>1</v>
      </c>
      <c r="C60" s="1">
        <v>25</v>
      </c>
      <c r="D60" s="1">
        <v>1</v>
      </c>
      <c r="E60" s="1">
        <v>1.9382999999999999</v>
      </c>
      <c r="F60" s="1">
        <v>0.7792</v>
      </c>
      <c r="G60" s="1">
        <v>0.55400000000000005</v>
      </c>
      <c r="H60" s="1">
        <v>-0.60629999999999995</v>
      </c>
      <c r="I60" s="1">
        <v>1.6999999999999999E-3</v>
      </c>
      <c r="J60" s="1">
        <v>3.4701</v>
      </c>
      <c r="K60" s="1">
        <v>3.9142999999999999</v>
      </c>
      <c r="L60" s="1">
        <v>2.1288999999999998</v>
      </c>
      <c r="M60" s="1">
        <v>-55.4</v>
      </c>
      <c r="N60" s="1">
        <v>1</v>
      </c>
      <c r="O60" s="1">
        <v>2.3340000000000001</v>
      </c>
      <c r="P60" s="1">
        <v>0.89500000000000002</v>
      </c>
      <c r="Q60" s="1">
        <v>0.54720000000000002</v>
      </c>
      <c r="R60" s="1">
        <v>-0.75219999999999998</v>
      </c>
      <c r="S60" s="1">
        <v>2.0000000000000001E-4</v>
      </c>
      <c r="T60" s="1">
        <v>1.9682999999999999</v>
      </c>
      <c r="U60" s="1">
        <v>2.8458000000000001</v>
      </c>
      <c r="V60" s="1">
        <v>1.9757</v>
      </c>
      <c r="W60" s="1">
        <v>100.9</v>
      </c>
      <c r="X60" s="1">
        <v>1</v>
      </c>
      <c r="Y60" s="1">
        <v>1.4901</v>
      </c>
      <c r="AA60" s="1">
        <v>0.60680000000000001</v>
      </c>
      <c r="AB60" s="1">
        <v>-0.68820000000000003</v>
      </c>
      <c r="AC60" s="1">
        <v>0.1452</v>
      </c>
      <c r="AD60" s="1">
        <v>4.0942999999999996</v>
      </c>
      <c r="AE60" s="1">
        <v>5.0869999999999997</v>
      </c>
      <c r="AF60" s="1">
        <v>2.3005</v>
      </c>
    </row>
    <row r="61" spans="1:32" s="1" customFormat="1" ht="11.25" x14ac:dyDescent="0.2">
      <c r="A61" s="1">
        <v>45</v>
      </c>
      <c r="B61" s="1">
        <v>1</v>
      </c>
      <c r="C61" s="1">
        <v>25.1</v>
      </c>
      <c r="D61" s="1">
        <v>1</v>
      </c>
      <c r="E61" s="1">
        <v>2.0432000000000001</v>
      </c>
      <c r="F61" s="1">
        <v>0.78</v>
      </c>
      <c r="G61" s="1">
        <v>0.55420000000000003</v>
      </c>
      <c r="H61" s="1">
        <v>-0.60860000000000003</v>
      </c>
      <c r="I61" s="1">
        <v>1.2999999999999999E-3</v>
      </c>
      <c r="J61" s="1">
        <v>3.4464000000000001</v>
      </c>
      <c r="K61" s="1">
        <v>3.8237999999999999</v>
      </c>
      <c r="L61" s="1">
        <v>2.0152000000000001</v>
      </c>
      <c r="M61" s="1">
        <v>-55.1</v>
      </c>
      <c r="N61" s="1">
        <v>1</v>
      </c>
      <c r="O61" s="1">
        <v>2.4863</v>
      </c>
      <c r="P61" s="1">
        <v>0.8962</v>
      </c>
      <c r="Q61" s="1">
        <v>0.69189999999999996</v>
      </c>
      <c r="R61" s="1">
        <v>-0.91469999999999996</v>
      </c>
      <c r="S61" s="1">
        <v>3.2000000000000002E-3</v>
      </c>
      <c r="T61" s="1">
        <v>1.9926999999999999</v>
      </c>
      <c r="U61" s="1">
        <v>2.7749000000000001</v>
      </c>
      <c r="V61" s="1">
        <v>1.8645</v>
      </c>
      <c r="W61" s="1">
        <v>100.5</v>
      </c>
      <c r="X61" s="1">
        <v>1</v>
      </c>
      <c r="Y61" s="1">
        <v>1.5376000000000001</v>
      </c>
      <c r="AA61" s="1">
        <v>0.58919999999999995</v>
      </c>
      <c r="AB61" s="1">
        <v>-0.6704</v>
      </c>
      <c r="AC61" s="1">
        <v>0.16120000000000001</v>
      </c>
      <c r="AD61" s="1">
        <v>3.9998</v>
      </c>
      <c r="AE61" s="1">
        <v>5.0086000000000004</v>
      </c>
      <c r="AF61" s="1">
        <v>2.1825000000000001</v>
      </c>
    </row>
    <row r="62" spans="1:32" s="1" customFormat="1" ht="11.25" x14ac:dyDescent="0.2">
      <c r="A62" s="1">
        <v>46</v>
      </c>
      <c r="B62" s="1">
        <v>1</v>
      </c>
      <c r="C62" s="1">
        <v>24.8</v>
      </c>
      <c r="D62" s="1">
        <v>1</v>
      </c>
      <c r="E62" s="1">
        <v>2.0790999999999999</v>
      </c>
      <c r="F62" s="1">
        <v>0.78369999999999995</v>
      </c>
      <c r="G62" s="1">
        <v>0.4466</v>
      </c>
      <c r="H62" s="1">
        <v>-0.54190000000000005</v>
      </c>
      <c r="I62" s="1">
        <v>1.6000000000000001E-3</v>
      </c>
      <c r="J62" s="1">
        <v>3.3782999999999999</v>
      </c>
      <c r="K62" s="1">
        <v>3.8795000000000002</v>
      </c>
      <c r="L62" s="1">
        <v>1.9006000000000001</v>
      </c>
      <c r="M62" s="1">
        <v>-55.3</v>
      </c>
      <c r="N62" s="1">
        <v>1</v>
      </c>
      <c r="O62" s="1">
        <v>2.5045000000000002</v>
      </c>
      <c r="P62" s="1">
        <v>0.89910000000000001</v>
      </c>
      <c r="Q62" s="1">
        <v>0.52659999999999996</v>
      </c>
      <c r="R62" s="1">
        <v>-0.65149999999999997</v>
      </c>
      <c r="S62" s="1">
        <v>3.2000000000000002E-3</v>
      </c>
      <c r="T62" s="1">
        <v>1.9805999999999999</v>
      </c>
      <c r="U62" s="1">
        <v>2.8304999999999998</v>
      </c>
      <c r="V62" s="1">
        <v>1.7506999999999999</v>
      </c>
      <c r="W62" s="1">
        <v>100.4</v>
      </c>
      <c r="X62" s="1">
        <v>1</v>
      </c>
      <c r="Y62" s="1">
        <v>1.5875999999999999</v>
      </c>
      <c r="AA62" s="1">
        <v>0.63109999999999999</v>
      </c>
      <c r="AB62" s="1">
        <v>-0.71809999999999996</v>
      </c>
      <c r="AC62" s="1">
        <v>0.16009999999999999</v>
      </c>
      <c r="AD62" s="1">
        <v>3.9319000000000002</v>
      </c>
      <c r="AE62" s="1">
        <v>5.0265000000000004</v>
      </c>
      <c r="AF62" s="1">
        <v>2.0648</v>
      </c>
    </row>
    <row r="63" spans="1:32" s="1" customFormat="1" ht="11.25" x14ac:dyDescent="0.2">
      <c r="A63" s="1">
        <v>47</v>
      </c>
      <c r="B63" s="1">
        <v>1</v>
      </c>
      <c r="C63" s="1">
        <v>25.2</v>
      </c>
      <c r="D63" s="1">
        <v>1</v>
      </c>
      <c r="E63" s="1">
        <v>2.0295000000000001</v>
      </c>
      <c r="F63" s="1">
        <v>0.77600000000000002</v>
      </c>
      <c r="G63" s="1">
        <v>0.50819999999999999</v>
      </c>
      <c r="H63" s="1">
        <v>-0.53190000000000004</v>
      </c>
      <c r="I63" s="1">
        <v>1.8E-3</v>
      </c>
      <c r="J63" s="1">
        <v>3.3437000000000001</v>
      </c>
      <c r="K63" s="1">
        <v>3.7808999999999999</v>
      </c>
      <c r="L63" s="1">
        <v>2.2130999999999998</v>
      </c>
      <c r="M63" s="1">
        <v>-55.2</v>
      </c>
      <c r="N63" s="1">
        <v>1</v>
      </c>
      <c r="O63" s="1">
        <v>2.4681999999999999</v>
      </c>
      <c r="P63" s="1">
        <v>0.89480000000000004</v>
      </c>
      <c r="Q63" s="1">
        <v>0.56720000000000004</v>
      </c>
      <c r="R63" s="1">
        <v>-0.73619999999999997</v>
      </c>
      <c r="S63" s="1">
        <v>4.7000000000000002E-3</v>
      </c>
      <c r="T63" s="1">
        <v>1.9193</v>
      </c>
      <c r="U63" s="1">
        <v>2.6876000000000002</v>
      </c>
      <c r="V63" s="1">
        <v>2.0489000000000002</v>
      </c>
      <c r="W63" s="1">
        <v>100.7</v>
      </c>
      <c r="X63" s="1">
        <v>1</v>
      </c>
      <c r="Y63" s="1">
        <v>1.5238</v>
      </c>
      <c r="AA63" s="1">
        <v>0.49609999999999999</v>
      </c>
      <c r="AB63" s="1">
        <v>-0.63619999999999999</v>
      </c>
      <c r="AC63" s="1">
        <v>0.18140000000000001</v>
      </c>
      <c r="AD63" s="1">
        <v>3.9653</v>
      </c>
      <c r="AE63" s="1">
        <v>4.9852999999999996</v>
      </c>
      <c r="AF63" s="1">
        <v>2.3923000000000001</v>
      </c>
    </row>
    <row r="64" spans="1:32" s="1" customFormat="1" ht="11.25" x14ac:dyDescent="0.2">
      <c r="A64" s="1">
        <v>48</v>
      </c>
      <c r="B64" s="1">
        <v>1</v>
      </c>
      <c r="C64" s="1">
        <v>25.1</v>
      </c>
      <c r="D64" s="1">
        <v>1</v>
      </c>
      <c r="E64" s="1">
        <v>1.9372</v>
      </c>
      <c r="F64" s="1">
        <v>0.77459999999999996</v>
      </c>
      <c r="G64" s="1">
        <v>0.46879999999999999</v>
      </c>
      <c r="H64" s="1">
        <v>-0.5968</v>
      </c>
      <c r="I64" s="1">
        <v>1.6000000000000001E-3</v>
      </c>
      <c r="J64" s="1">
        <v>3.4116</v>
      </c>
      <c r="K64" s="1">
        <v>3.7488000000000001</v>
      </c>
      <c r="L64" s="1">
        <v>2.3195000000000001</v>
      </c>
      <c r="M64" s="1">
        <v>-55.2</v>
      </c>
      <c r="N64" s="1">
        <v>1</v>
      </c>
      <c r="O64" s="1">
        <v>2.3555999999999999</v>
      </c>
      <c r="P64" s="1">
        <v>0.89300000000000002</v>
      </c>
      <c r="Q64" s="1">
        <v>0.65259999999999996</v>
      </c>
      <c r="R64" s="1">
        <v>-0.80420000000000003</v>
      </c>
      <c r="S64" s="1">
        <v>1.2999999999999999E-3</v>
      </c>
      <c r="T64" s="1">
        <v>1.8983000000000001</v>
      </c>
      <c r="U64" s="1">
        <v>2.6532</v>
      </c>
      <c r="V64" s="1">
        <v>2.1558999999999999</v>
      </c>
      <c r="W64" s="1">
        <v>100.2</v>
      </c>
      <c r="X64" s="1">
        <v>1</v>
      </c>
      <c r="Y64" s="1">
        <v>1.4524999999999999</v>
      </c>
      <c r="AA64" s="1">
        <v>0.50329999999999997</v>
      </c>
      <c r="AB64" s="1">
        <v>-0.59030000000000005</v>
      </c>
      <c r="AC64" s="1">
        <v>0.1699</v>
      </c>
      <c r="AD64" s="1">
        <v>4.1033999999999997</v>
      </c>
      <c r="AE64" s="1">
        <v>5.0462999999999996</v>
      </c>
      <c r="AF64" s="1">
        <v>2.4984999999999999</v>
      </c>
    </row>
    <row r="65" spans="1:32" s="1" customFormat="1" ht="11.25" x14ac:dyDescent="0.2">
      <c r="A65" s="1">
        <v>49</v>
      </c>
      <c r="B65" s="1">
        <v>1</v>
      </c>
      <c r="C65" s="1">
        <v>25.1</v>
      </c>
      <c r="D65" s="1">
        <v>1</v>
      </c>
      <c r="E65" s="1">
        <v>2.0567000000000002</v>
      </c>
      <c r="F65" s="1">
        <v>0.78169999999999995</v>
      </c>
      <c r="G65" s="1">
        <v>0.54430000000000001</v>
      </c>
      <c r="H65" s="1">
        <v>-0.61819999999999997</v>
      </c>
      <c r="I65" s="1">
        <v>1.4E-3</v>
      </c>
      <c r="J65" s="1">
        <v>3.3780999999999999</v>
      </c>
      <c r="K65" s="1">
        <v>3.879</v>
      </c>
      <c r="L65" s="1">
        <v>2.0017999999999998</v>
      </c>
      <c r="M65" s="1">
        <v>-54.6</v>
      </c>
      <c r="N65" s="1">
        <v>1</v>
      </c>
      <c r="O65" s="1">
        <v>2.4729000000000001</v>
      </c>
      <c r="P65" s="1">
        <v>0.89800000000000002</v>
      </c>
      <c r="Q65" s="1">
        <v>0.89449999999999996</v>
      </c>
      <c r="R65" s="1">
        <v>-1.6755</v>
      </c>
      <c r="S65" s="1">
        <v>1.2800000000000001E-2</v>
      </c>
      <c r="T65" s="1">
        <v>1.9362999999999999</v>
      </c>
      <c r="U65" s="1">
        <v>2.7608000000000001</v>
      </c>
      <c r="V65" s="1">
        <v>1.8589</v>
      </c>
      <c r="W65" s="1">
        <v>100.6</v>
      </c>
      <c r="X65" s="1">
        <v>1</v>
      </c>
      <c r="Y65" s="1">
        <v>1.5645</v>
      </c>
      <c r="AA65" s="1">
        <v>0.59830000000000005</v>
      </c>
      <c r="AB65" s="1">
        <v>-0.7903</v>
      </c>
      <c r="AC65" s="1">
        <v>0.16209999999999999</v>
      </c>
      <c r="AD65" s="1">
        <v>4.0194999999999999</v>
      </c>
      <c r="AE65" s="1">
        <v>5.0655999999999999</v>
      </c>
      <c r="AF65" s="1">
        <v>2.1707000000000001</v>
      </c>
    </row>
    <row r="66" spans="1:32" s="1" customFormat="1" ht="11.25" x14ac:dyDescent="0.2">
      <c r="A66" s="1">
        <v>50</v>
      </c>
      <c r="B66" s="1">
        <v>1</v>
      </c>
      <c r="C66" s="1">
        <v>25.1</v>
      </c>
      <c r="D66" s="1">
        <v>1</v>
      </c>
      <c r="E66" s="1">
        <v>2.0581999999999998</v>
      </c>
      <c r="F66" s="1">
        <v>0.78169999999999995</v>
      </c>
      <c r="G66" s="1">
        <v>0.57840000000000003</v>
      </c>
      <c r="H66" s="1">
        <v>-0.6381</v>
      </c>
      <c r="I66" s="1">
        <v>1.4E-3</v>
      </c>
      <c r="J66" s="1">
        <v>3.3119999999999998</v>
      </c>
      <c r="K66" s="1">
        <v>3.7671999999999999</v>
      </c>
      <c r="L66" s="1">
        <v>1.8102</v>
      </c>
      <c r="M66" s="1">
        <v>-55.2</v>
      </c>
      <c r="N66" s="1">
        <v>1</v>
      </c>
      <c r="O66" s="1">
        <v>2.4887999999999999</v>
      </c>
      <c r="P66" s="1">
        <v>0.8972</v>
      </c>
      <c r="Q66" s="1">
        <v>0.63949999999999996</v>
      </c>
      <c r="R66" s="1">
        <v>-0.84240000000000004</v>
      </c>
      <c r="S66" s="1">
        <v>4.5999999999999999E-3</v>
      </c>
      <c r="T66" s="1">
        <v>1.8494999999999999</v>
      </c>
      <c r="U66" s="1">
        <v>2.6848999999999998</v>
      </c>
      <c r="V66" s="1">
        <v>1.6667000000000001</v>
      </c>
      <c r="W66" s="1">
        <v>100.4</v>
      </c>
      <c r="X66" s="1">
        <v>1</v>
      </c>
      <c r="Y66" s="1">
        <v>1.5555000000000001</v>
      </c>
      <c r="AA66" s="1">
        <v>0.59209999999999996</v>
      </c>
      <c r="AB66" s="1">
        <v>-0.65790000000000004</v>
      </c>
      <c r="AC66" s="1">
        <v>0.17499999999999999</v>
      </c>
      <c r="AD66" s="1">
        <v>3.8603999999999998</v>
      </c>
      <c r="AE66" s="1">
        <v>4.8554000000000004</v>
      </c>
      <c r="AF66" s="1">
        <v>1.9689000000000001</v>
      </c>
    </row>
    <row r="67" spans="1:32" s="1" customFormat="1" ht="11.25" x14ac:dyDescent="0.2">
      <c r="A67" s="1">
        <v>51</v>
      </c>
      <c r="B67" s="1">
        <v>1</v>
      </c>
      <c r="C67" s="1">
        <v>24.9</v>
      </c>
      <c r="D67" s="1">
        <v>1</v>
      </c>
      <c r="E67" s="1">
        <v>2.0049999999999999</v>
      </c>
      <c r="F67" s="1">
        <v>0.77549999999999997</v>
      </c>
      <c r="G67" s="1">
        <v>0.50639999999999996</v>
      </c>
      <c r="H67" s="1">
        <v>-0.60070000000000001</v>
      </c>
      <c r="I67" s="1">
        <v>1.6000000000000001E-3</v>
      </c>
      <c r="J67" s="1">
        <v>3.5049999999999999</v>
      </c>
      <c r="K67" s="1">
        <v>3.8542000000000001</v>
      </c>
      <c r="L67" s="1">
        <v>2.2942</v>
      </c>
      <c r="M67" s="1">
        <v>-55.2</v>
      </c>
      <c r="N67" s="1">
        <v>1</v>
      </c>
      <c r="O67" s="1">
        <v>2.4310999999999998</v>
      </c>
      <c r="P67" s="1">
        <v>0.89510000000000001</v>
      </c>
      <c r="Q67" s="1">
        <v>0.83760000000000001</v>
      </c>
      <c r="R67" s="1">
        <v>-1.0205</v>
      </c>
      <c r="S67" s="1">
        <v>1.5E-3</v>
      </c>
      <c r="T67" s="1">
        <v>1.9535</v>
      </c>
      <c r="U67" s="1">
        <v>2.7403</v>
      </c>
      <c r="V67" s="1">
        <v>2.1286999999999998</v>
      </c>
      <c r="W67" s="1">
        <v>100.4</v>
      </c>
      <c r="X67" s="1">
        <v>1</v>
      </c>
      <c r="Y67" s="1">
        <v>1.5032000000000001</v>
      </c>
      <c r="AA67" s="1">
        <v>0.52100000000000002</v>
      </c>
      <c r="AB67" s="1">
        <v>-0.66159999999999997</v>
      </c>
      <c r="AC67" s="1">
        <v>0.188</v>
      </c>
      <c r="AD67" s="1">
        <v>4.1387</v>
      </c>
      <c r="AE67" s="1">
        <v>5.0679999999999996</v>
      </c>
      <c r="AF67" s="1">
        <v>2.4784000000000002</v>
      </c>
    </row>
    <row r="68" spans="1:32" s="1" customFormat="1" ht="11.25" x14ac:dyDescent="0.2">
      <c r="A68" s="1">
        <v>52</v>
      </c>
      <c r="B68" s="1">
        <v>1</v>
      </c>
      <c r="C68" s="1">
        <v>24.9</v>
      </c>
      <c r="D68" s="1">
        <v>1</v>
      </c>
      <c r="E68" s="1">
        <v>2.0224000000000002</v>
      </c>
      <c r="F68" s="1">
        <v>0.78680000000000005</v>
      </c>
      <c r="G68" s="1">
        <v>0.56059999999999999</v>
      </c>
      <c r="H68" s="1">
        <v>-0.63029999999999997</v>
      </c>
      <c r="I68" s="1">
        <v>1.8E-3</v>
      </c>
      <c r="J68" s="1">
        <v>3.4306999999999999</v>
      </c>
      <c r="K68" s="1">
        <v>4.4090999999999996</v>
      </c>
      <c r="L68" s="1">
        <v>1.9883999999999999</v>
      </c>
      <c r="M68" s="1">
        <v>-55.2</v>
      </c>
      <c r="N68" s="1">
        <v>1</v>
      </c>
      <c r="O68" s="1">
        <v>2.4437000000000002</v>
      </c>
      <c r="P68" s="1">
        <v>0.90249999999999997</v>
      </c>
      <c r="Q68" s="1">
        <v>0.55169999999999997</v>
      </c>
      <c r="R68" s="1">
        <v>-0.7218</v>
      </c>
      <c r="S68" s="1">
        <v>8.0999999999999996E-3</v>
      </c>
      <c r="T68" s="1">
        <v>1.9340999999999999</v>
      </c>
      <c r="U68" s="1">
        <v>3.3589000000000002</v>
      </c>
      <c r="V68" s="1">
        <v>1.8286</v>
      </c>
      <c r="W68" s="1">
        <v>100.5</v>
      </c>
      <c r="X68" s="1">
        <v>1</v>
      </c>
      <c r="Y68" s="1">
        <v>1.5334000000000001</v>
      </c>
      <c r="AA68" s="1">
        <v>0.49399999999999999</v>
      </c>
      <c r="AB68" s="1">
        <v>-0.61629999999999996</v>
      </c>
      <c r="AC68" s="1">
        <v>0.155</v>
      </c>
      <c r="AD68" s="1">
        <v>4.0537000000000001</v>
      </c>
      <c r="AE68" s="1">
        <v>5.4855999999999998</v>
      </c>
      <c r="AF68" s="1">
        <v>2.1587000000000001</v>
      </c>
    </row>
    <row r="69" spans="1:32" s="1" customFormat="1" ht="11.25" x14ac:dyDescent="0.2">
      <c r="A69" s="1">
        <v>53</v>
      </c>
      <c r="B69" s="1">
        <v>1</v>
      </c>
      <c r="C69" s="1">
        <v>25</v>
      </c>
      <c r="D69" s="1">
        <v>1</v>
      </c>
      <c r="E69" s="1">
        <v>1.9722</v>
      </c>
      <c r="F69" s="1">
        <v>0.77380000000000004</v>
      </c>
      <c r="G69" s="1">
        <v>0.50339999999999996</v>
      </c>
      <c r="H69" s="1">
        <v>-0.54569999999999996</v>
      </c>
      <c r="I69" s="1">
        <v>1.2999999999999999E-3</v>
      </c>
      <c r="J69" s="1">
        <v>3.3853</v>
      </c>
      <c r="K69" s="1">
        <v>3.7702</v>
      </c>
      <c r="L69" s="1">
        <v>2.2170999999999998</v>
      </c>
      <c r="M69" s="1">
        <v>-55.2</v>
      </c>
      <c r="N69" s="1">
        <v>1</v>
      </c>
      <c r="O69" s="1">
        <v>2.3900999999999999</v>
      </c>
      <c r="P69" s="1">
        <v>0.89200000000000002</v>
      </c>
      <c r="Q69" s="1">
        <v>0.58430000000000004</v>
      </c>
      <c r="R69" s="1">
        <v>-1.0229999999999999</v>
      </c>
      <c r="S69" s="1">
        <v>1E-4</v>
      </c>
      <c r="T69" s="1">
        <v>1.8887</v>
      </c>
      <c r="U69" s="1">
        <v>2.6625999999999999</v>
      </c>
      <c r="V69" s="1">
        <v>2.0585</v>
      </c>
      <c r="W69" s="1">
        <v>100.4</v>
      </c>
      <c r="X69" s="1">
        <v>1</v>
      </c>
      <c r="Y69" s="1">
        <v>1.4930000000000001</v>
      </c>
      <c r="AA69" s="1">
        <v>0.63200000000000001</v>
      </c>
      <c r="AB69" s="1">
        <v>-0.73499999999999999</v>
      </c>
      <c r="AC69" s="1">
        <v>0.17430000000000001</v>
      </c>
      <c r="AD69" s="1">
        <v>4.0018000000000002</v>
      </c>
      <c r="AE69" s="1">
        <v>4.9450000000000003</v>
      </c>
      <c r="AF69" s="1">
        <v>2.3933</v>
      </c>
    </row>
    <row r="70" spans="1:32" s="1" customFormat="1" ht="11.25" x14ac:dyDescent="0.2">
      <c r="A70" s="1">
        <v>54</v>
      </c>
      <c r="B70" s="1">
        <v>1</v>
      </c>
      <c r="C70" s="1">
        <v>25</v>
      </c>
      <c r="D70" s="1">
        <v>1</v>
      </c>
      <c r="E70" s="1">
        <v>1.9917</v>
      </c>
      <c r="F70" s="1">
        <v>0.77910000000000001</v>
      </c>
      <c r="G70" s="1">
        <v>0.55910000000000004</v>
      </c>
      <c r="H70" s="1">
        <v>-0.58079999999999998</v>
      </c>
      <c r="I70" s="1">
        <v>1.6999999999999999E-3</v>
      </c>
      <c r="J70" s="1">
        <v>3.4114</v>
      </c>
      <c r="K70" s="1">
        <v>3.8496000000000001</v>
      </c>
      <c r="L70" s="1">
        <v>2.1200999999999999</v>
      </c>
      <c r="M70" s="1">
        <v>-55.2</v>
      </c>
      <c r="N70" s="1">
        <v>1</v>
      </c>
      <c r="O70" s="1">
        <v>2.3959000000000001</v>
      </c>
      <c r="P70" s="1">
        <v>0.89510000000000001</v>
      </c>
      <c r="Q70" s="1">
        <v>0.65959999999999996</v>
      </c>
      <c r="R70" s="1">
        <v>-0.66169999999999995</v>
      </c>
      <c r="S70" s="1">
        <v>8.2000000000000007E-3</v>
      </c>
      <c r="T70" s="1">
        <v>1.9263999999999999</v>
      </c>
      <c r="U70" s="1">
        <v>2.7549999999999999</v>
      </c>
      <c r="V70" s="1">
        <v>1.9601999999999999</v>
      </c>
      <c r="W70" s="1">
        <v>100.4</v>
      </c>
      <c r="X70" s="1">
        <v>1</v>
      </c>
      <c r="Y70" s="1">
        <v>1.5141</v>
      </c>
      <c r="AA70" s="1">
        <v>0.60529999999999995</v>
      </c>
      <c r="AB70" s="1">
        <v>-0.74719999999999998</v>
      </c>
      <c r="AC70" s="1">
        <v>0.16400000000000001</v>
      </c>
      <c r="AD70" s="1">
        <v>4.0053999999999998</v>
      </c>
      <c r="AE70" s="1">
        <v>5.0206999999999997</v>
      </c>
      <c r="AF70" s="1">
        <v>2.2945000000000002</v>
      </c>
    </row>
    <row r="71" spans="1:32" s="1" customFormat="1" ht="11.25" x14ac:dyDescent="0.2">
      <c r="A71" s="1">
        <v>55</v>
      </c>
      <c r="B71" s="1">
        <v>1</v>
      </c>
      <c r="C71" s="1">
        <v>25</v>
      </c>
      <c r="D71" s="1">
        <v>1</v>
      </c>
      <c r="E71" s="1">
        <v>1.958</v>
      </c>
      <c r="F71" s="1">
        <v>0.7762</v>
      </c>
      <c r="G71" s="1">
        <v>0.42909999999999998</v>
      </c>
      <c r="H71" s="1">
        <v>-0.51849999999999996</v>
      </c>
      <c r="I71" s="1">
        <v>1.5E-3</v>
      </c>
      <c r="J71" s="1">
        <v>3.3754</v>
      </c>
      <c r="K71" s="1">
        <v>3.7351000000000001</v>
      </c>
      <c r="L71" s="1">
        <v>2.0794000000000001</v>
      </c>
      <c r="M71" s="1">
        <v>-55.2</v>
      </c>
      <c r="N71" s="1">
        <v>1</v>
      </c>
      <c r="O71" s="1">
        <v>2.3868999999999998</v>
      </c>
      <c r="P71" s="1">
        <v>0.89529999999999998</v>
      </c>
      <c r="Q71" s="1">
        <v>0.50170000000000003</v>
      </c>
      <c r="R71" s="1">
        <v>-0.70369999999999999</v>
      </c>
      <c r="S71" s="1">
        <v>1.5900000000000001E-2</v>
      </c>
      <c r="T71" s="1">
        <v>1.925</v>
      </c>
      <c r="U71" s="1">
        <v>2.6375999999999999</v>
      </c>
      <c r="V71" s="1">
        <v>1.9098999999999999</v>
      </c>
      <c r="W71" s="1">
        <v>100.9</v>
      </c>
      <c r="X71" s="1">
        <v>1</v>
      </c>
      <c r="Y71" s="1">
        <v>1.4570000000000001</v>
      </c>
      <c r="AA71" s="1">
        <v>0.56459999999999999</v>
      </c>
      <c r="AB71" s="1">
        <v>-0.72419999999999995</v>
      </c>
      <c r="AC71" s="1">
        <v>0.20669999999999999</v>
      </c>
      <c r="AD71" s="1">
        <v>3.9735</v>
      </c>
      <c r="AE71" s="1">
        <v>4.9259000000000004</v>
      </c>
      <c r="AF71" s="1">
        <v>2.2551999999999999</v>
      </c>
    </row>
    <row r="72" spans="1:32" s="1" customFormat="1" ht="11.25" x14ac:dyDescent="0.2">
      <c r="A72" s="1">
        <v>56</v>
      </c>
      <c r="B72" s="1">
        <v>1</v>
      </c>
      <c r="C72" s="1">
        <v>24.9</v>
      </c>
      <c r="D72" s="1">
        <v>1</v>
      </c>
      <c r="E72" s="1">
        <v>2.1574</v>
      </c>
      <c r="F72" s="1">
        <v>0.78749999999999998</v>
      </c>
      <c r="G72" s="1">
        <v>0.44409999999999999</v>
      </c>
      <c r="H72" s="1">
        <v>-0.51390000000000002</v>
      </c>
      <c r="I72" s="1">
        <v>1.1999999999999999E-3</v>
      </c>
      <c r="J72" s="1">
        <v>3.3963000000000001</v>
      </c>
      <c r="K72" s="1">
        <v>3.9998999999999998</v>
      </c>
      <c r="L72" s="1">
        <v>1.7262999999999999</v>
      </c>
      <c r="M72" s="1">
        <v>-55.3</v>
      </c>
      <c r="N72" s="1">
        <v>1</v>
      </c>
      <c r="O72" s="1">
        <v>2.5933999999999999</v>
      </c>
      <c r="P72" s="1">
        <v>0.9012</v>
      </c>
      <c r="Q72" s="1">
        <v>0.74950000000000006</v>
      </c>
      <c r="R72" s="1">
        <v>-0.95789999999999997</v>
      </c>
      <c r="S72" s="1">
        <v>4.0000000000000002E-4</v>
      </c>
      <c r="T72" s="1">
        <v>1.9821</v>
      </c>
      <c r="U72" s="1">
        <v>2.9967000000000001</v>
      </c>
      <c r="V72" s="1">
        <v>1.5809</v>
      </c>
      <c r="W72" s="1">
        <v>100.8</v>
      </c>
      <c r="X72" s="1">
        <v>1</v>
      </c>
      <c r="Y72" s="1">
        <v>1.6425000000000001</v>
      </c>
      <c r="AA72" s="1">
        <v>0.61550000000000005</v>
      </c>
      <c r="AB72" s="1">
        <v>-0.67759999999999998</v>
      </c>
      <c r="AC72" s="1">
        <v>0.16189999999999999</v>
      </c>
      <c r="AD72" s="1">
        <v>3.9495</v>
      </c>
      <c r="AE72" s="1">
        <v>5.1067999999999998</v>
      </c>
      <c r="AF72" s="1">
        <v>1.8855</v>
      </c>
    </row>
    <row r="73" spans="1:32" s="1" customFormat="1" ht="11.25" x14ac:dyDescent="0.2">
      <c r="A73" s="1">
        <v>57</v>
      </c>
      <c r="B73" s="1">
        <v>1</v>
      </c>
      <c r="C73" s="1">
        <v>25</v>
      </c>
      <c r="D73" s="1">
        <v>1</v>
      </c>
      <c r="E73" s="1">
        <v>2.2465999999999999</v>
      </c>
      <c r="F73" s="1">
        <v>0.7903</v>
      </c>
      <c r="G73" s="1">
        <v>0.51119999999999999</v>
      </c>
      <c r="H73" s="1">
        <v>-0.55130000000000001</v>
      </c>
      <c r="I73" s="1">
        <v>1.4E-3</v>
      </c>
      <c r="J73" s="1">
        <v>3.4155000000000002</v>
      </c>
      <c r="K73" s="1">
        <v>4.0427999999999997</v>
      </c>
      <c r="L73" s="1">
        <v>1.663</v>
      </c>
      <c r="M73" s="1">
        <v>-55.2</v>
      </c>
      <c r="N73" s="1">
        <v>1</v>
      </c>
      <c r="O73" s="1">
        <v>2.6993</v>
      </c>
      <c r="P73" s="1">
        <v>0.90310000000000001</v>
      </c>
      <c r="Q73" s="1">
        <v>0.73429999999999995</v>
      </c>
      <c r="R73" s="1">
        <v>-1.1146</v>
      </c>
      <c r="S73" s="1">
        <v>5.0000000000000001E-4</v>
      </c>
      <c r="T73" s="1">
        <v>1.9562999999999999</v>
      </c>
      <c r="U73" s="1">
        <v>3.0183</v>
      </c>
      <c r="V73" s="1">
        <v>1.5243</v>
      </c>
      <c r="W73" s="1">
        <v>100.7</v>
      </c>
      <c r="X73" s="1">
        <v>1</v>
      </c>
      <c r="Y73" s="1">
        <v>1.7172000000000001</v>
      </c>
      <c r="AA73" s="1">
        <v>0.54779999999999995</v>
      </c>
      <c r="AB73" s="1">
        <v>-0.64639999999999997</v>
      </c>
      <c r="AC73" s="1">
        <v>0.1459</v>
      </c>
      <c r="AD73" s="1">
        <v>3.9853000000000001</v>
      </c>
      <c r="AE73" s="1">
        <v>5.1703000000000001</v>
      </c>
      <c r="AF73" s="1">
        <v>1.8167</v>
      </c>
    </row>
    <row r="74" spans="1:32" s="1" customFormat="1" ht="11.25" x14ac:dyDescent="0.2">
      <c r="A74" s="1">
        <v>58</v>
      </c>
      <c r="B74" s="1">
        <v>1</v>
      </c>
      <c r="C74" s="1">
        <v>25</v>
      </c>
      <c r="D74" s="1">
        <v>1</v>
      </c>
      <c r="E74" s="1">
        <v>2.0186999999999999</v>
      </c>
      <c r="F74" s="1">
        <v>0.7752</v>
      </c>
      <c r="G74" s="1">
        <v>0.50860000000000005</v>
      </c>
      <c r="H74" s="1">
        <v>-0.64239999999999997</v>
      </c>
      <c r="I74" s="1">
        <v>1.6000000000000001E-3</v>
      </c>
      <c r="J74" s="1">
        <v>3.3231000000000002</v>
      </c>
      <c r="K74" s="1">
        <v>3.7637</v>
      </c>
      <c r="L74" s="1">
        <v>2.1983000000000001</v>
      </c>
      <c r="M74" s="1">
        <v>-55.7</v>
      </c>
      <c r="N74" s="1">
        <v>1</v>
      </c>
      <c r="O74" s="1">
        <v>2.4447999999999999</v>
      </c>
      <c r="P74" s="1">
        <v>0.89259999999999995</v>
      </c>
      <c r="Q74" s="1">
        <v>0.58630000000000004</v>
      </c>
      <c r="R74" s="1">
        <v>-1.1675</v>
      </c>
      <c r="S74" s="1">
        <v>3.2000000000000002E-3</v>
      </c>
      <c r="T74" s="1">
        <v>1.8663000000000001</v>
      </c>
      <c r="U74" s="1">
        <v>2.6728000000000001</v>
      </c>
      <c r="V74" s="1">
        <v>2.0203000000000002</v>
      </c>
      <c r="W74" s="1">
        <v>101.7</v>
      </c>
      <c r="X74" s="1">
        <v>1</v>
      </c>
      <c r="Y74" s="1">
        <v>1.5058</v>
      </c>
      <c r="AA74" s="1">
        <v>0.68420000000000003</v>
      </c>
      <c r="AB74" s="1">
        <v>-0.81520000000000004</v>
      </c>
      <c r="AC74" s="1">
        <v>0.21659999999999999</v>
      </c>
      <c r="AD74" s="1">
        <v>4.0266999999999999</v>
      </c>
      <c r="AE74" s="1">
        <v>5.0423</v>
      </c>
      <c r="AF74" s="1">
        <v>2.3799000000000001</v>
      </c>
    </row>
    <row r="75" spans="1:32" s="1" customFormat="1" ht="11.25" x14ac:dyDescent="0.2">
      <c r="A75" s="1">
        <v>59</v>
      </c>
      <c r="B75" s="1">
        <v>1</v>
      </c>
      <c r="C75" s="1">
        <v>25.1</v>
      </c>
      <c r="D75" s="1">
        <v>1</v>
      </c>
      <c r="E75" s="1">
        <v>1.9837</v>
      </c>
      <c r="F75" s="1">
        <v>0.77749999999999997</v>
      </c>
      <c r="G75" s="1">
        <v>0.5484</v>
      </c>
      <c r="H75" s="1">
        <v>-0.64390000000000003</v>
      </c>
      <c r="I75" s="1">
        <v>1.6999999999999999E-3</v>
      </c>
      <c r="J75" s="1">
        <v>3.4001000000000001</v>
      </c>
      <c r="K75" s="1">
        <v>3.7923</v>
      </c>
      <c r="L75" s="1">
        <v>2.1606999999999998</v>
      </c>
      <c r="M75" s="1">
        <v>-55.3</v>
      </c>
      <c r="N75" s="1">
        <v>1</v>
      </c>
      <c r="O75" s="1">
        <v>2.4116</v>
      </c>
      <c r="P75" s="1">
        <v>0.89510000000000001</v>
      </c>
      <c r="Q75" s="1">
        <v>0.74329999999999996</v>
      </c>
      <c r="R75" s="1">
        <v>-0.84150000000000003</v>
      </c>
      <c r="S75" s="1">
        <v>1.24E-2</v>
      </c>
      <c r="T75" s="1">
        <v>1.9415</v>
      </c>
      <c r="U75" s="1">
        <v>2.7120000000000002</v>
      </c>
      <c r="V75" s="1">
        <v>1.9921</v>
      </c>
      <c r="W75" s="1">
        <v>100.8</v>
      </c>
      <c r="X75" s="1">
        <v>1</v>
      </c>
      <c r="Y75" s="1">
        <v>1.4837</v>
      </c>
      <c r="AA75" s="1">
        <v>0.54700000000000004</v>
      </c>
      <c r="AB75" s="1">
        <v>-0.63859999999999995</v>
      </c>
      <c r="AC75" s="1">
        <v>0.18659999999999999</v>
      </c>
      <c r="AD75" s="1">
        <v>4.0368000000000004</v>
      </c>
      <c r="AE75" s="1">
        <v>5.0048000000000004</v>
      </c>
      <c r="AF75" s="1">
        <v>2.3403</v>
      </c>
    </row>
    <row r="76" spans="1:32" s="1" customFormat="1" ht="11.25" x14ac:dyDescent="0.2">
      <c r="A76" s="1">
        <v>60</v>
      </c>
      <c r="B76" s="1">
        <v>1</v>
      </c>
      <c r="C76" s="1">
        <v>24.9</v>
      </c>
      <c r="D76" s="1">
        <v>1</v>
      </c>
      <c r="E76" s="1">
        <v>2.0306000000000002</v>
      </c>
      <c r="F76" s="1">
        <v>0.78390000000000004</v>
      </c>
      <c r="G76" s="1">
        <v>0.57210000000000005</v>
      </c>
      <c r="H76" s="1">
        <v>-0.57630000000000003</v>
      </c>
      <c r="I76" s="1">
        <v>1.6000000000000001E-3</v>
      </c>
      <c r="J76" s="1">
        <v>3.4601000000000002</v>
      </c>
      <c r="K76" s="1">
        <v>3.9047000000000001</v>
      </c>
      <c r="L76" s="1">
        <v>1.9132</v>
      </c>
      <c r="M76" s="1">
        <v>-55.2</v>
      </c>
      <c r="N76" s="1">
        <v>1</v>
      </c>
      <c r="O76" s="1">
        <v>2.4550999999999998</v>
      </c>
      <c r="P76" s="1">
        <v>0.89880000000000004</v>
      </c>
      <c r="Q76" s="1">
        <v>0.4511</v>
      </c>
      <c r="R76" s="1">
        <v>-0.58589999999999998</v>
      </c>
      <c r="S76" s="1">
        <v>2.2200000000000001E-2</v>
      </c>
      <c r="T76" s="1">
        <v>1.9314</v>
      </c>
      <c r="U76" s="1">
        <v>2.8068</v>
      </c>
      <c r="V76" s="1">
        <v>1.7491000000000001</v>
      </c>
      <c r="W76" s="1">
        <v>100.8</v>
      </c>
      <c r="X76" s="1">
        <v>1</v>
      </c>
      <c r="Y76" s="1">
        <v>1.5462</v>
      </c>
      <c r="AA76" s="1">
        <v>0.51339999999999997</v>
      </c>
      <c r="AB76" s="1">
        <v>-0.66339999999999999</v>
      </c>
      <c r="AC76" s="1">
        <v>0.1464</v>
      </c>
      <c r="AD76" s="1">
        <v>4.0800999999999998</v>
      </c>
      <c r="AE76" s="1">
        <v>5.1059999999999999</v>
      </c>
      <c r="AF76" s="1">
        <v>2.0758000000000001</v>
      </c>
    </row>
    <row r="77" spans="1:32" s="1" customFormat="1" ht="11.25" x14ac:dyDescent="0.2">
      <c r="A77" s="1">
        <v>61</v>
      </c>
      <c r="B77" s="1">
        <v>1</v>
      </c>
      <c r="C77" s="1">
        <v>25</v>
      </c>
      <c r="D77" s="1">
        <v>1</v>
      </c>
      <c r="E77" s="1">
        <v>1.9463999999999999</v>
      </c>
      <c r="F77" s="1">
        <v>0.77580000000000005</v>
      </c>
      <c r="G77" s="1">
        <v>0.44729999999999998</v>
      </c>
      <c r="H77" s="1">
        <v>-0.57850000000000001</v>
      </c>
      <c r="I77" s="1">
        <v>1.5E-3</v>
      </c>
      <c r="J77" s="1">
        <v>3.3776999999999999</v>
      </c>
      <c r="K77" s="1">
        <v>3.7239</v>
      </c>
      <c r="L77" s="1">
        <v>2.1480000000000001</v>
      </c>
      <c r="M77" s="1">
        <v>-55.3</v>
      </c>
      <c r="N77" s="1">
        <v>1</v>
      </c>
      <c r="O77" s="1">
        <v>2.3683000000000001</v>
      </c>
      <c r="P77" s="1">
        <v>0.89329999999999998</v>
      </c>
      <c r="Q77" s="1">
        <v>0.65369999999999995</v>
      </c>
      <c r="R77" s="1">
        <v>-0.74150000000000005</v>
      </c>
      <c r="S77" s="1">
        <v>2.0000000000000001E-4</v>
      </c>
      <c r="T77" s="1">
        <v>1.867</v>
      </c>
      <c r="U77" s="1">
        <v>2.6303999999999998</v>
      </c>
      <c r="V77" s="1">
        <v>1.9893000000000001</v>
      </c>
      <c r="W77" s="1">
        <v>100.3</v>
      </c>
      <c r="X77" s="1">
        <v>1</v>
      </c>
      <c r="Y77" s="1">
        <v>1.4624999999999999</v>
      </c>
      <c r="AA77" s="1">
        <v>0.54559999999999997</v>
      </c>
      <c r="AB77" s="1">
        <v>-0.64480000000000004</v>
      </c>
      <c r="AC77" s="1">
        <v>0.17380000000000001</v>
      </c>
      <c r="AD77" s="1">
        <v>3.9457</v>
      </c>
      <c r="AE77" s="1">
        <v>4.8613999999999997</v>
      </c>
      <c r="AF77" s="1">
        <v>2.3224999999999998</v>
      </c>
    </row>
    <row r="78" spans="1:32" s="1" customFormat="1" ht="11.25" x14ac:dyDescent="0.2">
      <c r="A78" s="1">
        <v>62</v>
      </c>
      <c r="B78" s="1">
        <v>1</v>
      </c>
      <c r="C78" s="1">
        <v>25.1</v>
      </c>
      <c r="D78" s="1">
        <v>1</v>
      </c>
      <c r="E78" s="1">
        <v>2.2987000000000002</v>
      </c>
      <c r="F78" s="1">
        <v>0.78590000000000004</v>
      </c>
      <c r="G78" s="1">
        <v>0.42809999999999998</v>
      </c>
      <c r="H78" s="1">
        <v>-0.51870000000000005</v>
      </c>
      <c r="I78" s="1">
        <v>1.6000000000000001E-3</v>
      </c>
      <c r="J78" s="1">
        <v>3.2185000000000001</v>
      </c>
      <c r="K78" s="1">
        <v>3.9020000000000001</v>
      </c>
      <c r="L78" s="1">
        <v>1.8795999999999999</v>
      </c>
      <c r="M78" s="1">
        <v>-55.2</v>
      </c>
      <c r="N78" s="1">
        <v>1</v>
      </c>
      <c r="O78" s="1">
        <v>2.7884000000000002</v>
      </c>
      <c r="P78" s="1">
        <v>0.90029999999999999</v>
      </c>
      <c r="Q78" s="1">
        <v>0.62590000000000001</v>
      </c>
      <c r="R78" s="1">
        <v>-0.77490000000000003</v>
      </c>
      <c r="S78" s="1">
        <v>4.5999999999999999E-3</v>
      </c>
      <c r="T78" s="1">
        <v>1.8342000000000001</v>
      </c>
      <c r="U78" s="1">
        <v>2.9398</v>
      </c>
      <c r="V78" s="1">
        <v>1.7283999999999999</v>
      </c>
      <c r="W78" s="1">
        <v>100.7</v>
      </c>
      <c r="X78" s="1">
        <v>1</v>
      </c>
      <c r="Y78" s="1">
        <v>1.7386999999999999</v>
      </c>
      <c r="AA78" s="1">
        <v>0.4819</v>
      </c>
      <c r="AB78" s="1">
        <v>-0.59889999999999999</v>
      </c>
      <c r="AC78" s="1">
        <v>0.13070000000000001</v>
      </c>
      <c r="AD78" s="1">
        <v>3.923</v>
      </c>
      <c r="AE78" s="1">
        <v>5.1387</v>
      </c>
      <c r="AF78" s="1">
        <v>2.0440999999999998</v>
      </c>
    </row>
    <row r="79" spans="1:32" s="1" customFormat="1" ht="11.25" x14ac:dyDescent="0.2">
      <c r="A79" s="1">
        <v>63</v>
      </c>
      <c r="B79" s="1">
        <v>1</v>
      </c>
      <c r="C79" s="1">
        <v>25.2</v>
      </c>
      <c r="D79" s="1">
        <v>1</v>
      </c>
      <c r="E79" s="1">
        <v>1.9137</v>
      </c>
      <c r="F79" s="1">
        <v>0.77490000000000003</v>
      </c>
      <c r="G79" s="1">
        <v>0.56220000000000003</v>
      </c>
      <c r="H79" s="1">
        <v>-0.63190000000000002</v>
      </c>
      <c r="I79" s="1">
        <v>1.5E-3</v>
      </c>
      <c r="J79" s="1">
        <v>3.4384999999999999</v>
      </c>
      <c r="K79" s="1">
        <v>3.7976999999999999</v>
      </c>
      <c r="L79" s="1">
        <v>2.3081999999999998</v>
      </c>
      <c r="M79" s="1">
        <v>-55.2</v>
      </c>
      <c r="N79" s="1">
        <v>1</v>
      </c>
      <c r="O79" s="1">
        <v>2.3292000000000002</v>
      </c>
      <c r="P79" s="1">
        <v>0.89370000000000005</v>
      </c>
      <c r="Q79" s="1">
        <v>0.59809999999999997</v>
      </c>
      <c r="R79" s="1">
        <v>-0.71450000000000002</v>
      </c>
      <c r="S79" s="1">
        <v>1.4999999999999999E-2</v>
      </c>
      <c r="T79" s="1">
        <v>1.9560999999999999</v>
      </c>
      <c r="U79" s="1">
        <v>2.7000999999999999</v>
      </c>
      <c r="V79" s="1">
        <v>2.1355</v>
      </c>
      <c r="W79" s="1">
        <v>100.5</v>
      </c>
      <c r="X79" s="1">
        <v>1</v>
      </c>
      <c r="Y79" s="1">
        <v>1.4285000000000001</v>
      </c>
      <c r="AA79" s="1">
        <v>0.56399999999999995</v>
      </c>
      <c r="AB79" s="1">
        <v>-0.59089999999999998</v>
      </c>
      <c r="AC79" s="1">
        <v>0.1885</v>
      </c>
      <c r="AD79" s="1">
        <v>4.0922999999999998</v>
      </c>
      <c r="AE79" s="1">
        <v>5.0242000000000004</v>
      </c>
      <c r="AF79" s="1">
        <v>2.4891999999999999</v>
      </c>
    </row>
    <row r="80" spans="1:32" s="1" customFormat="1" ht="11.25" x14ac:dyDescent="0.2">
      <c r="A80" s="1">
        <v>64</v>
      </c>
      <c r="B80" s="1">
        <v>1</v>
      </c>
      <c r="C80" s="1">
        <v>25</v>
      </c>
      <c r="D80" s="1">
        <v>1</v>
      </c>
      <c r="E80" s="1">
        <v>2.0476999999999999</v>
      </c>
      <c r="F80" s="1">
        <v>0.77810000000000001</v>
      </c>
      <c r="G80" s="1">
        <v>0.48499999999999999</v>
      </c>
      <c r="H80" s="1">
        <v>-0.51919999999999999</v>
      </c>
      <c r="I80" s="1">
        <v>1.5E-3</v>
      </c>
      <c r="J80" s="1">
        <v>3.3357000000000001</v>
      </c>
      <c r="K80" s="1">
        <v>3.7921999999999998</v>
      </c>
      <c r="L80" s="1">
        <v>1.9946999999999999</v>
      </c>
      <c r="M80" s="1">
        <v>-55.4</v>
      </c>
      <c r="N80" s="1">
        <v>1</v>
      </c>
      <c r="O80" s="1">
        <v>2.4803000000000002</v>
      </c>
      <c r="P80" s="1">
        <v>0.89639999999999997</v>
      </c>
      <c r="Q80" s="1">
        <v>0.60219999999999996</v>
      </c>
      <c r="R80" s="1">
        <v>-0.79810000000000003</v>
      </c>
      <c r="S80" s="1">
        <v>1.9400000000000001E-2</v>
      </c>
      <c r="T80" s="1">
        <v>1.9065000000000001</v>
      </c>
      <c r="U80" s="1">
        <v>2.69</v>
      </c>
      <c r="V80" s="1">
        <v>1.8252999999999999</v>
      </c>
      <c r="W80" s="1">
        <v>100.6</v>
      </c>
      <c r="X80" s="1">
        <v>1</v>
      </c>
      <c r="Y80" s="1">
        <v>1.5410999999999999</v>
      </c>
      <c r="AA80" s="1">
        <v>0.61780000000000002</v>
      </c>
      <c r="AB80" s="1">
        <v>-0.71040000000000003</v>
      </c>
      <c r="AC80" s="1">
        <v>0.18679999999999999</v>
      </c>
      <c r="AD80" s="1">
        <v>3.9672000000000001</v>
      </c>
      <c r="AE80" s="1">
        <v>4.9972000000000003</v>
      </c>
      <c r="AF80" s="1">
        <v>2.1652999999999998</v>
      </c>
    </row>
    <row r="81" spans="1:32" s="1" customFormat="1" ht="11.25" x14ac:dyDescent="0.2">
      <c r="A81" s="1">
        <v>65</v>
      </c>
      <c r="B81" s="1">
        <v>1</v>
      </c>
      <c r="C81" s="1">
        <v>24.9</v>
      </c>
      <c r="D81" s="1">
        <v>1</v>
      </c>
      <c r="E81" s="1">
        <v>2.1311</v>
      </c>
      <c r="F81" s="1">
        <v>0.78290000000000004</v>
      </c>
      <c r="G81" s="1">
        <v>0.44990000000000002</v>
      </c>
      <c r="H81" s="1">
        <v>-0.52759999999999996</v>
      </c>
      <c r="I81" s="1">
        <v>1.5E-3</v>
      </c>
      <c r="J81" s="1">
        <v>3.3174999999999999</v>
      </c>
      <c r="K81" s="1">
        <v>3.8178999999999998</v>
      </c>
      <c r="L81" s="1">
        <v>1.8334999999999999</v>
      </c>
      <c r="M81" s="1">
        <v>-55.2</v>
      </c>
      <c r="N81" s="1">
        <v>1</v>
      </c>
      <c r="O81" s="1">
        <v>2.5672000000000001</v>
      </c>
      <c r="P81" s="1">
        <v>0.89759999999999995</v>
      </c>
      <c r="Q81" s="1">
        <v>0.6139</v>
      </c>
      <c r="R81" s="1">
        <v>-0.85019999999999996</v>
      </c>
      <c r="S81" s="1">
        <v>1.8100000000000002E-2</v>
      </c>
      <c r="T81" s="1">
        <v>1.8771</v>
      </c>
      <c r="U81" s="1">
        <v>2.7557</v>
      </c>
      <c r="V81" s="1">
        <v>1.6728000000000001</v>
      </c>
      <c r="W81" s="1">
        <v>100.5</v>
      </c>
      <c r="X81" s="1">
        <v>1</v>
      </c>
      <c r="Y81" s="1">
        <v>1.6135999999999999</v>
      </c>
      <c r="AA81" s="1">
        <v>0.63690000000000002</v>
      </c>
      <c r="AB81" s="1">
        <v>-0.86199999999999999</v>
      </c>
      <c r="AC81" s="1">
        <v>0.17469999999999999</v>
      </c>
      <c r="AD81" s="1">
        <v>3.9131</v>
      </c>
      <c r="AE81" s="1">
        <v>5.0285000000000002</v>
      </c>
      <c r="AF81" s="1">
        <v>1.9961</v>
      </c>
    </row>
    <row r="82" spans="1:32" s="1" customFormat="1" ht="11.25" x14ac:dyDescent="0.2">
      <c r="A82" s="1">
        <v>66</v>
      </c>
      <c r="B82" s="1">
        <v>1</v>
      </c>
      <c r="C82" s="1">
        <v>25</v>
      </c>
      <c r="D82" s="1">
        <v>1</v>
      </c>
      <c r="E82" s="1">
        <v>2.0358999999999998</v>
      </c>
      <c r="F82" s="1">
        <v>0.78259999999999996</v>
      </c>
      <c r="G82" s="1">
        <v>0.57720000000000005</v>
      </c>
      <c r="H82" s="1">
        <v>-0.64019999999999999</v>
      </c>
      <c r="I82" s="1">
        <v>1.4E-3</v>
      </c>
      <c r="J82" s="1">
        <v>3.4014000000000002</v>
      </c>
      <c r="K82" s="1">
        <v>3.8283</v>
      </c>
      <c r="L82" s="1">
        <v>1.8723000000000001</v>
      </c>
      <c r="M82" s="1">
        <v>-55.2</v>
      </c>
      <c r="N82" s="1">
        <v>1</v>
      </c>
      <c r="O82" s="1">
        <v>2.4546000000000001</v>
      </c>
      <c r="P82" s="1">
        <v>0.89729999999999999</v>
      </c>
      <c r="Q82" s="1">
        <v>0.627</v>
      </c>
      <c r="R82" s="1">
        <v>-1.0474000000000001</v>
      </c>
      <c r="S82" s="1">
        <v>1.0699999999999999E-2</v>
      </c>
      <c r="T82" s="1">
        <v>1.9330000000000001</v>
      </c>
      <c r="U82" s="1">
        <v>2.7601</v>
      </c>
      <c r="V82" s="1">
        <v>1.7161999999999999</v>
      </c>
      <c r="W82" s="1">
        <v>99.9</v>
      </c>
      <c r="X82" s="1">
        <v>1</v>
      </c>
      <c r="Y82" s="1">
        <v>1.5578000000000001</v>
      </c>
      <c r="AA82" s="1">
        <v>0.60109999999999997</v>
      </c>
      <c r="AB82" s="1">
        <v>-0.76770000000000005</v>
      </c>
      <c r="AC82" s="1">
        <v>0.1416</v>
      </c>
      <c r="AD82" s="1">
        <v>3.9678</v>
      </c>
      <c r="AE82" s="1">
        <v>5.0117000000000003</v>
      </c>
      <c r="AF82" s="1">
        <v>2.0337999999999998</v>
      </c>
    </row>
    <row r="83" spans="1:32" s="1" customFormat="1" ht="11.25" x14ac:dyDescent="0.2">
      <c r="A83" s="1">
        <v>67</v>
      </c>
      <c r="B83" s="1">
        <v>1</v>
      </c>
      <c r="C83" s="1">
        <v>25</v>
      </c>
      <c r="D83" s="1">
        <v>1</v>
      </c>
      <c r="E83" s="1">
        <v>1.9253</v>
      </c>
      <c r="F83" s="1">
        <v>0.77529999999999999</v>
      </c>
      <c r="G83" s="1">
        <v>0.43530000000000002</v>
      </c>
      <c r="H83" s="1">
        <v>-0.52639999999999998</v>
      </c>
      <c r="I83" s="1">
        <v>2.0999999999999999E-3</v>
      </c>
      <c r="J83" s="1">
        <v>3.4723000000000002</v>
      </c>
      <c r="K83" s="1">
        <v>3.9731999999999998</v>
      </c>
      <c r="L83" s="1">
        <v>2.3018000000000001</v>
      </c>
      <c r="M83" s="1">
        <v>-55.3</v>
      </c>
      <c r="N83" s="1">
        <v>1</v>
      </c>
      <c r="O83" s="1">
        <v>2.3559000000000001</v>
      </c>
      <c r="P83" s="1">
        <v>0.89480000000000004</v>
      </c>
      <c r="Q83" s="1">
        <v>0.53739999999999999</v>
      </c>
      <c r="R83" s="1">
        <v>-0.76239999999999997</v>
      </c>
      <c r="S83" s="1">
        <v>2.1600000000000001E-2</v>
      </c>
      <c r="T83" s="1">
        <v>1.9540999999999999</v>
      </c>
      <c r="U83" s="1">
        <v>2.6795</v>
      </c>
      <c r="V83" s="1">
        <v>2.1263999999999998</v>
      </c>
      <c r="W83" s="1">
        <v>100.8</v>
      </c>
      <c r="X83" s="1">
        <v>1</v>
      </c>
      <c r="Y83" s="1">
        <v>1.4300999999999999</v>
      </c>
      <c r="AA83" s="1">
        <v>0.64239999999999997</v>
      </c>
      <c r="AB83" s="1">
        <v>-0.6956</v>
      </c>
      <c r="AC83" s="1">
        <v>0.18990000000000001</v>
      </c>
      <c r="AD83" s="1">
        <v>4.1134000000000004</v>
      </c>
      <c r="AE83" s="1">
        <v>5.0449000000000002</v>
      </c>
      <c r="AF83" s="1">
        <v>2.4834000000000001</v>
      </c>
    </row>
    <row r="84" spans="1:32" s="1" customFormat="1" ht="11.25" x14ac:dyDescent="0.2">
      <c r="A84" s="1">
        <v>68</v>
      </c>
      <c r="B84" s="1">
        <v>1</v>
      </c>
      <c r="C84" s="1">
        <v>25</v>
      </c>
      <c r="D84" s="1">
        <v>1</v>
      </c>
      <c r="E84" s="1">
        <v>1.9209000000000001</v>
      </c>
      <c r="F84" s="1">
        <v>0.77459999999999996</v>
      </c>
      <c r="G84" s="1">
        <v>0.57150000000000001</v>
      </c>
      <c r="H84" s="1">
        <v>-0.65920000000000001</v>
      </c>
      <c r="I84" s="1">
        <v>1.5E-3</v>
      </c>
      <c r="J84" s="1">
        <v>3.4580000000000002</v>
      </c>
      <c r="K84" s="1">
        <v>3.7988</v>
      </c>
      <c r="L84" s="1">
        <v>2.3327</v>
      </c>
      <c r="M84" s="1">
        <v>-54.8</v>
      </c>
      <c r="N84" s="1">
        <v>1</v>
      </c>
      <c r="O84" s="1">
        <v>2.3429000000000002</v>
      </c>
      <c r="P84" s="1">
        <v>0.89239999999999997</v>
      </c>
      <c r="Q84" s="1">
        <v>0.76729999999999998</v>
      </c>
      <c r="R84" s="1">
        <v>-1.1938</v>
      </c>
      <c r="S84" s="1">
        <v>6.1999999999999998E-3</v>
      </c>
      <c r="T84" s="1">
        <v>1.9439</v>
      </c>
      <c r="U84" s="1">
        <v>2.7025000000000001</v>
      </c>
      <c r="V84" s="1">
        <v>2.1631</v>
      </c>
      <c r="W84" s="1">
        <v>100.3</v>
      </c>
      <c r="X84" s="1">
        <v>1</v>
      </c>
      <c r="Y84" s="1">
        <v>1.4359</v>
      </c>
      <c r="AA84" s="1">
        <v>0.62909999999999999</v>
      </c>
      <c r="AB84" s="1">
        <v>-0.70709999999999995</v>
      </c>
      <c r="AC84" s="1">
        <v>0.17599999999999999</v>
      </c>
      <c r="AD84" s="1">
        <v>4.0693999999999999</v>
      </c>
      <c r="AE84" s="1">
        <v>5.0212000000000003</v>
      </c>
      <c r="AF84" s="1">
        <v>2.5133999999999999</v>
      </c>
    </row>
    <row r="85" spans="1:32" s="1" customFormat="1" ht="11.25" x14ac:dyDescent="0.2">
      <c r="A85" s="1">
        <v>69</v>
      </c>
      <c r="B85" s="1">
        <v>1</v>
      </c>
      <c r="C85" s="1">
        <v>25</v>
      </c>
      <c r="D85" s="1">
        <v>1</v>
      </c>
      <c r="E85" s="1">
        <v>1.9261999999999999</v>
      </c>
      <c r="F85" s="1">
        <v>0.7742</v>
      </c>
      <c r="G85" s="1">
        <v>0.50870000000000004</v>
      </c>
      <c r="H85" s="1">
        <v>-0.63139999999999996</v>
      </c>
      <c r="I85" s="1">
        <v>1.6999999999999999E-3</v>
      </c>
      <c r="J85" s="1">
        <v>3.4174000000000002</v>
      </c>
      <c r="K85" s="1">
        <v>3.7744</v>
      </c>
      <c r="L85" s="1">
        <v>2.327</v>
      </c>
      <c r="M85" s="1">
        <v>-55.3</v>
      </c>
      <c r="N85" s="1">
        <v>1</v>
      </c>
      <c r="O85" s="1">
        <v>2.3515999999999999</v>
      </c>
      <c r="P85" s="1">
        <v>0.89239999999999997</v>
      </c>
      <c r="Q85" s="1">
        <v>0.55959999999999999</v>
      </c>
      <c r="R85" s="1">
        <v>-0.67869999999999997</v>
      </c>
      <c r="S85" s="1">
        <v>0.01</v>
      </c>
      <c r="T85" s="1">
        <v>1.9683999999999999</v>
      </c>
      <c r="U85" s="1">
        <v>2.7046000000000001</v>
      </c>
      <c r="V85" s="1">
        <v>2.1579999999999999</v>
      </c>
      <c r="W85" s="1">
        <v>100.5</v>
      </c>
      <c r="X85" s="1">
        <v>1</v>
      </c>
      <c r="Y85" s="1">
        <v>1.44</v>
      </c>
      <c r="AA85" s="1">
        <v>0.49330000000000002</v>
      </c>
      <c r="AB85" s="1">
        <v>-0.60019999999999996</v>
      </c>
      <c r="AC85" s="1">
        <v>0.1731</v>
      </c>
      <c r="AD85" s="1">
        <v>4.0639000000000003</v>
      </c>
      <c r="AE85" s="1">
        <v>4.9794999999999998</v>
      </c>
      <c r="AF85" s="1">
        <v>2.5087000000000002</v>
      </c>
    </row>
    <row r="86" spans="1:32" s="1" customFormat="1" ht="11.25" x14ac:dyDescent="0.2">
      <c r="A86" s="1">
        <v>70</v>
      </c>
      <c r="B86" s="1">
        <v>1</v>
      </c>
      <c r="C86" s="1">
        <v>25</v>
      </c>
      <c r="D86" s="1">
        <v>1</v>
      </c>
      <c r="E86" s="1">
        <v>1.9674</v>
      </c>
      <c r="F86" s="1">
        <v>0.78320000000000001</v>
      </c>
      <c r="G86" s="1">
        <v>0.4496</v>
      </c>
      <c r="H86" s="1">
        <v>-0.58330000000000004</v>
      </c>
      <c r="I86" s="1">
        <v>1.2999999999999999E-3</v>
      </c>
      <c r="J86" s="1">
        <v>3.3845000000000001</v>
      </c>
      <c r="K86" s="1">
        <v>4.0121000000000002</v>
      </c>
      <c r="L86" s="1">
        <v>1.8119000000000001</v>
      </c>
      <c r="M86" s="1">
        <v>-55.3</v>
      </c>
      <c r="N86" s="1">
        <v>1</v>
      </c>
      <c r="O86" s="1">
        <v>2.363</v>
      </c>
      <c r="P86" s="1">
        <v>0.89959999999999996</v>
      </c>
      <c r="Q86" s="1">
        <v>0.50580000000000003</v>
      </c>
      <c r="R86" s="1">
        <v>-0.70550000000000002</v>
      </c>
      <c r="S86" s="1">
        <v>9.7999999999999997E-3</v>
      </c>
      <c r="T86" s="1">
        <v>1.9104000000000001</v>
      </c>
      <c r="U86" s="1">
        <v>2.9438</v>
      </c>
      <c r="V86" s="1">
        <v>1.6576</v>
      </c>
      <c r="W86" s="1">
        <v>100.4</v>
      </c>
      <c r="X86" s="1">
        <v>1</v>
      </c>
      <c r="Y86" s="1">
        <v>1.5093000000000001</v>
      </c>
      <c r="AA86" s="1">
        <v>0.61060000000000003</v>
      </c>
      <c r="AB86" s="1">
        <v>-0.63839999999999997</v>
      </c>
      <c r="AC86" s="1">
        <v>0.1704</v>
      </c>
      <c r="AD86" s="1">
        <v>3.8797000000000001</v>
      </c>
      <c r="AE86" s="1">
        <v>5.1238000000000001</v>
      </c>
      <c r="AF86" s="1">
        <v>1.9750000000000001</v>
      </c>
    </row>
    <row r="87" spans="1:32" s="1" customFormat="1" ht="11.25" x14ac:dyDescent="0.2">
      <c r="A87" s="1">
        <v>71</v>
      </c>
      <c r="B87" s="1">
        <v>1</v>
      </c>
      <c r="C87" s="1">
        <v>25</v>
      </c>
      <c r="D87" s="1">
        <v>1</v>
      </c>
      <c r="E87" s="1">
        <v>2.0402999999999998</v>
      </c>
      <c r="F87" s="1">
        <v>0.77790000000000004</v>
      </c>
      <c r="G87" s="1">
        <v>0.55010000000000003</v>
      </c>
      <c r="H87" s="1">
        <v>-0.64319999999999999</v>
      </c>
      <c r="I87" s="1">
        <v>1.1999999999999999E-3</v>
      </c>
      <c r="J87" s="1">
        <v>3.3458000000000001</v>
      </c>
      <c r="K87" s="1">
        <v>3.8045</v>
      </c>
      <c r="L87" s="1">
        <v>2.1078000000000001</v>
      </c>
      <c r="M87" s="1">
        <v>-55.2</v>
      </c>
      <c r="N87" s="1">
        <v>1</v>
      </c>
      <c r="O87" s="1">
        <v>2.4674</v>
      </c>
      <c r="P87" s="1">
        <v>0.89659999999999995</v>
      </c>
      <c r="Q87" s="1">
        <v>0.61909999999999998</v>
      </c>
      <c r="R87" s="1">
        <v>-0.67420000000000002</v>
      </c>
      <c r="S87" s="1">
        <v>1.2800000000000001E-2</v>
      </c>
      <c r="T87" s="1">
        <v>1.8996999999999999</v>
      </c>
      <c r="U87" s="1">
        <v>2.7179000000000002</v>
      </c>
      <c r="V87" s="1">
        <v>1.9401999999999999</v>
      </c>
      <c r="W87" s="1">
        <v>100.4</v>
      </c>
      <c r="X87" s="1">
        <v>1</v>
      </c>
      <c r="Y87" s="1">
        <v>1.5330999999999999</v>
      </c>
      <c r="AA87" s="1">
        <v>0.61119999999999997</v>
      </c>
      <c r="AB87" s="1">
        <v>-0.65769999999999995</v>
      </c>
      <c r="AC87" s="1">
        <v>0.1862</v>
      </c>
      <c r="AD87" s="1">
        <v>4.0118999999999998</v>
      </c>
      <c r="AE87" s="1">
        <v>4.9980000000000002</v>
      </c>
      <c r="AF87" s="1">
        <v>2.2850000000000001</v>
      </c>
    </row>
    <row r="88" spans="1:32" s="1" customFormat="1" ht="11.25" x14ac:dyDescent="0.2">
      <c r="A88" s="1">
        <v>72</v>
      </c>
      <c r="B88" s="1">
        <v>1</v>
      </c>
      <c r="C88" s="1">
        <v>25</v>
      </c>
      <c r="D88" s="1">
        <v>1</v>
      </c>
      <c r="E88" s="1">
        <v>2.0335000000000001</v>
      </c>
      <c r="F88" s="1">
        <v>0.77990000000000004</v>
      </c>
      <c r="G88" s="1">
        <v>0.46510000000000001</v>
      </c>
      <c r="H88" s="1">
        <v>-0.57330000000000003</v>
      </c>
      <c r="I88" s="1">
        <v>1.5E-3</v>
      </c>
      <c r="J88" s="1">
        <v>3.2679999999999998</v>
      </c>
      <c r="K88" s="1">
        <v>3.7244999999999999</v>
      </c>
      <c r="L88" s="1">
        <v>2.0648</v>
      </c>
      <c r="M88" s="1">
        <v>-55.2</v>
      </c>
      <c r="N88" s="1">
        <v>1</v>
      </c>
      <c r="O88" s="1">
        <v>2.448</v>
      </c>
      <c r="P88" s="1">
        <v>0.89500000000000002</v>
      </c>
      <c r="Q88" s="1">
        <v>0.60160000000000002</v>
      </c>
      <c r="R88" s="1">
        <v>-0.80059999999999998</v>
      </c>
      <c r="S88" s="1">
        <v>4.4999999999999997E-3</v>
      </c>
      <c r="T88" s="1">
        <v>1.8206</v>
      </c>
      <c r="U88" s="1">
        <v>2.6629</v>
      </c>
      <c r="V88" s="1">
        <v>1.9069</v>
      </c>
      <c r="W88" s="1">
        <v>100.3</v>
      </c>
      <c r="X88" s="1">
        <v>1</v>
      </c>
      <c r="Y88" s="1">
        <v>1.5539000000000001</v>
      </c>
      <c r="AA88" s="1">
        <v>0.53859999999999997</v>
      </c>
      <c r="AB88" s="1">
        <v>-0.60070000000000001</v>
      </c>
      <c r="AC88" s="1">
        <v>0.14330000000000001</v>
      </c>
      <c r="AD88" s="1">
        <v>3.9342000000000001</v>
      </c>
      <c r="AE88" s="1">
        <v>4.9737</v>
      </c>
      <c r="AF88" s="1">
        <v>2.2330999999999999</v>
      </c>
    </row>
    <row r="89" spans="1:32" s="1" customFormat="1" ht="11.25" x14ac:dyDescent="0.2">
      <c r="A89" s="1">
        <v>73</v>
      </c>
      <c r="B89" s="1">
        <v>1</v>
      </c>
      <c r="C89" s="1">
        <v>24.9</v>
      </c>
      <c r="D89" s="1">
        <v>1</v>
      </c>
      <c r="E89" s="1">
        <v>2.0253999999999999</v>
      </c>
      <c r="F89" s="1">
        <v>0.77590000000000003</v>
      </c>
      <c r="G89" s="1">
        <v>0.46100000000000002</v>
      </c>
      <c r="H89" s="1">
        <v>-0.56179999999999997</v>
      </c>
      <c r="I89" s="1">
        <v>1.6000000000000001E-3</v>
      </c>
      <c r="J89" s="1">
        <v>3.3915000000000002</v>
      </c>
      <c r="K89" s="1">
        <v>3.8</v>
      </c>
      <c r="L89" s="1">
        <v>2.2399</v>
      </c>
      <c r="M89" s="1">
        <v>-55.2</v>
      </c>
      <c r="N89" s="1">
        <v>1</v>
      </c>
      <c r="O89" s="1">
        <v>2.4594999999999998</v>
      </c>
      <c r="P89" s="1">
        <v>0.89419999999999999</v>
      </c>
      <c r="Q89" s="1">
        <v>0.47989999999999999</v>
      </c>
      <c r="R89" s="1">
        <v>-0.6946</v>
      </c>
      <c r="S89" s="1">
        <v>1.9599999999999999E-2</v>
      </c>
      <c r="T89" s="1">
        <v>1.9117</v>
      </c>
      <c r="U89" s="1">
        <v>2.702</v>
      </c>
      <c r="V89" s="1">
        <v>2.0640000000000001</v>
      </c>
      <c r="W89" s="1">
        <v>100.6</v>
      </c>
      <c r="X89" s="1">
        <v>1</v>
      </c>
      <c r="Y89" s="1">
        <v>1.5246999999999999</v>
      </c>
      <c r="AA89" s="1">
        <v>0.64749999999999996</v>
      </c>
      <c r="AB89" s="1">
        <v>-0.75280000000000002</v>
      </c>
      <c r="AC89" s="1">
        <v>0.1764</v>
      </c>
      <c r="AD89" s="1">
        <v>3.9781</v>
      </c>
      <c r="AE89" s="1">
        <v>4.9961000000000002</v>
      </c>
      <c r="AF89" s="1">
        <v>2.4188000000000001</v>
      </c>
    </row>
    <row r="90" spans="1:32" s="1" customFormat="1" ht="11.25" x14ac:dyDescent="0.2">
      <c r="A90" s="1">
        <v>74</v>
      </c>
      <c r="B90" s="1">
        <v>1</v>
      </c>
      <c r="C90" s="1">
        <v>25</v>
      </c>
      <c r="D90" s="1">
        <v>1</v>
      </c>
      <c r="E90" s="1">
        <v>2.0266000000000002</v>
      </c>
      <c r="F90" s="1">
        <v>0.7752</v>
      </c>
      <c r="G90" s="1">
        <v>0.45860000000000001</v>
      </c>
      <c r="H90" s="1">
        <v>-0.60370000000000001</v>
      </c>
      <c r="I90" s="1">
        <v>1.6999999999999999E-3</v>
      </c>
      <c r="J90" s="1">
        <v>3.3833000000000002</v>
      </c>
      <c r="K90" s="1">
        <v>3.7768999999999999</v>
      </c>
      <c r="L90" s="1">
        <v>2.2664</v>
      </c>
      <c r="M90" s="1">
        <v>-55.1</v>
      </c>
      <c r="N90" s="1">
        <v>1</v>
      </c>
      <c r="O90" s="1">
        <v>2.4580000000000002</v>
      </c>
      <c r="P90" s="1">
        <v>0.89170000000000005</v>
      </c>
      <c r="Q90" s="1">
        <v>0.59689999999999999</v>
      </c>
      <c r="R90" s="1">
        <v>-0.80200000000000005</v>
      </c>
      <c r="S90" s="1">
        <v>7.1999999999999998E-3</v>
      </c>
      <c r="T90" s="1">
        <v>1.9142999999999999</v>
      </c>
      <c r="U90" s="1">
        <v>2.6913999999999998</v>
      </c>
      <c r="V90" s="1">
        <v>2.1002000000000001</v>
      </c>
      <c r="W90" s="1">
        <v>100.3</v>
      </c>
      <c r="X90" s="1">
        <v>1</v>
      </c>
      <c r="Y90" s="1">
        <v>1.5414000000000001</v>
      </c>
      <c r="AA90" s="1">
        <v>0.58679999999999999</v>
      </c>
      <c r="AB90" s="1">
        <v>-0.62180000000000002</v>
      </c>
      <c r="AC90" s="1">
        <v>0.14069999999999999</v>
      </c>
      <c r="AD90" s="1">
        <v>4.0023999999999997</v>
      </c>
      <c r="AE90" s="1">
        <v>4.9805999999999999</v>
      </c>
      <c r="AF90" s="1">
        <v>2.4426000000000001</v>
      </c>
    </row>
    <row r="91" spans="1:32" s="1" customFormat="1" ht="11.25" x14ac:dyDescent="0.2">
      <c r="A91" s="1">
        <v>75</v>
      </c>
      <c r="B91" s="1">
        <v>1</v>
      </c>
      <c r="C91" s="1">
        <v>25.1</v>
      </c>
      <c r="D91" s="1">
        <v>1</v>
      </c>
      <c r="E91" s="1">
        <v>2.0121000000000002</v>
      </c>
      <c r="F91" s="1">
        <v>0.77710000000000001</v>
      </c>
      <c r="G91" s="1">
        <v>0.57050000000000001</v>
      </c>
      <c r="H91" s="1">
        <v>-0.62229999999999996</v>
      </c>
      <c r="I91" s="1">
        <v>1.5E-3</v>
      </c>
      <c r="J91" s="1">
        <v>3.3885000000000001</v>
      </c>
      <c r="K91" s="1">
        <v>3.8123</v>
      </c>
      <c r="L91" s="1">
        <v>2.1112000000000002</v>
      </c>
      <c r="M91" s="1">
        <v>-55.2</v>
      </c>
      <c r="N91" s="1">
        <v>1</v>
      </c>
      <c r="O91" s="1">
        <v>2.4371</v>
      </c>
      <c r="P91" s="1">
        <v>0.89410000000000001</v>
      </c>
      <c r="Q91" s="1">
        <v>0.74080000000000001</v>
      </c>
      <c r="R91" s="1">
        <v>-0.72950000000000004</v>
      </c>
      <c r="S91" s="1">
        <v>8.3999999999999995E-3</v>
      </c>
      <c r="T91" s="1">
        <v>1.9538</v>
      </c>
      <c r="U91" s="1">
        <v>2.7201</v>
      </c>
      <c r="V91" s="1">
        <v>1.9486000000000001</v>
      </c>
      <c r="W91" s="1">
        <v>100.6</v>
      </c>
      <c r="X91" s="1">
        <v>1</v>
      </c>
      <c r="Y91" s="1">
        <v>1.5254000000000001</v>
      </c>
      <c r="AA91" s="1">
        <v>0.54630000000000001</v>
      </c>
      <c r="AB91" s="1">
        <v>-0.71</v>
      </c>
      <c r="AC91" s="1">
        <v>0.15759999999999999</v>
      </c>
      <c r="AD91" s="1">
        <v>3.9912999999999998</v>
      </c>
      <c r="AE91" s="1">
        <v>4.9772999999999996</v>
      </c>
      <c r="AF91" s="1">
        <v>2.2831000000000001</v>
      </c>
    </row>
    <row r="92" spans="1:32" s="1" customFormat="1" ht="11.25" x14ac:dyDescent="0.2">
      <c r="A92" s="1">
        <v>76</v>
      </c>
      <c r="B92" s="1">
        <v>1</v>
      </c>
      <c r="C92" s="1">
        <v>25</v>
      </c>
      <c r="D92" s="1">
        <v>1</v>
      </c>
      <c r="E92" s="1">
        <v>2.0270999999999999</v>
      </c>
      <c r="F92" s="1">
        <v>0.77639999999999998</v>
      </c>
      <c r="G92" s="1">
        <v>0.45629999999999998</v>
      </c>
      <c r="H92" s="1">
        <v>-0.59750000000000003</v>
      </c>
      <c r="I92" s="1">
        <v>1.6000000000000001E-3</v>
      </c>
      <c r="J92" s="1">
        <v>3.4169999999999998</v>
      </c>
      <c r="K92" s="1">
        <v>3.8304</v>
      </c>
      <c r="L92" s="1">
        <v>2.2014999999999998</v>
      </c>
      <c r="M92" s="1">
        <v>-55.3</v>
      </c>
      <c r="N92" s="1">
        <v>1</v>
      </c>
      <c r="O92" s="1">
        <v>2.4559000000000002</v>
      </c>
      <c r="P92" s="1">
        <v>0.89429999999999998</v>
      </c>
      <c r="Q92" s="1">
        <v>0.63190000000000002</v>
      </c>
      <c r="R92" s="1">
        <v>-0.93859999999999999</v>
      </c>
      <c r="S92" s="1">
        <v>6.1000000000000004E-3</v>
      </c>
      <c r="T92" s="1">
        <v>1.9716</v>
      </c>
      <c r="U92" s="1">
        <v>2.7313999999999998</v>
      </c>
      <c r="V92" s="1">
        <v>2.0345</v>
      </c>
      <c r="W92" s="1">
        <v>100.6</v>
      </c>
      <c r="X92" s="1">
        <v>1</v>
      </c>
      <c r="Y92" s="1">
        <v>1.534</v>
      </c>
      <c r="AA92" s="1">
        <v>0.55530000000000002</v>
      </c>
      <c r="AB92" s="1">
        <v>-0.71909999999999996</v>
      </c>
      <c r="AC92" s="1">
        <v>0.16689999999999999</v>
      </c>
      <c r="AD92" s="1">
        <v>3.9853000000000001</v>
      </c>
      <c r="AE92" s="1">
        <v>5.0015000000000001</v>
      </c>
      <c r="AF92" s="1">
        <v>2.3780000000000001</v>
      </c>
    </row>
    <row r="93" spans="1:32" s="1" customFormat="1" ht="11.25" x14ac:dyDescent="0.2">
      <c r="A93" s="1">
        <v>77</v>
      </c>
      <c r="B93" s="1">
        <v>1</v>
      </c>
      <c r="C93" s="1">
        <v>24.9</v>
      </c>
      <c r="D93" s="1">
        <v>1</v>
      </c>
      <c r="E93" s="1">
        <v>2.0124</v>
      </c>
      <c r="F93" s="1">
        <v>0.77969999999999995</v>
      </c>
      <c r="G93" s="1">
        <v>0.45750000000000002</v>
      </c>
      <c r="H93" s="1">
        <v>-0.59319999999999995</v>
      </c>
      <c r="I93" s="1">
        <v>1.5E-3</v>
      </c>
      <c r="J93" s="1">
        <v>3.2465000000000002</v>
      </c>
      <c r="K93" s="1">
        <v>3.6905000000000001</v>
      </c>
      <c r="L93" s="1">
        <v>1.9226000000000001</v>
      </c>
      <c r="M93" s="1">
        <v>-55</v>
      </c>
      <c r="N93" s="1">
        <v>1</v>
      </c>
      <c r="O93" s="1">
        <v>2.4323999999999999</v>
      </c>
      <c r="P93" s="1">
        <v>0.8952</v>
      </c>
      <c r="Q93" s="1">
        <v>0.65590000000000004</v>
      </c>
      <c r="R93" s="1">
        <v>-0.92220000000000002</v>
      </c>
      <c r="S93" s="1">
        <v>7.3000000000000001E-3</v>
      </c>
      <c r="T93" s="1">
        <v>1.8566</v>
      </c>
      <c r="U93" s="1">
        <v>2.6335000000000002</v>
      </c>
      <c r="V93" s="1">
        <v>1.7647999999999999</v>
      </c>
      <c r="W93" s="1">
        <v>100.1</v>
      </c>
      <c r="X93" s="1">
        <v>1</v>
      </c>
      <c r="Y93" s="1">
        <v>1.5263</v>
      </c>
      <c r="AA93" s="1">
        <v>0.53290000000000004</v>
      </c>
      <c r="AB93" s="1">
        <v>-0.68540000000000001</v>
      </c>
      <c r="AC93" s="1">
        <v>0.15129999999999999</v>
      </c>
      <c r="AD93" s="1">
        <v>3.8982999999999999</v>
      </c>
      <c r="AE93" s="1">
        <v>4.8506</v>
      </c>
      <c r="AF93" s="1">
        <v>2.0867</v>
      </c>
    </row>
    <row r="94" spans="1:32" s="1" customFormat="1" ht="11.25" x14ac:dyDescent="0.2">
      <c r="A94" s="1">
        <v>78</v>
      </c>
      <c r="B94" s="1">
        <v>1</v>
      </c>
      <c r="C94" s="1">
        <v>25.2</v>
      </c>
      <c r="D94" s="1">
        <v>1</v>
      </c>
      <c r="E94" s="1">
        <v>1.9914000000000001</v>
      </c>
      <c r="F94" s="1">
        <v>0.77580000000000005</v>
      </c>
      <c r="G94" s="1">
        <v>0.44429999999999997</v>
      </c>
      <c r="H94" s="1">
        <v>-0.5645</v>
      </c>
      <c r="I94" s="1">
        <v>1.8E-3</v>
      </c>
      <c r="J94" s="1">
        <v>3.4074</v>
      </c>
      <c r="K94" s="1">
        <v>3.7930000000000001</v>
      </c>
      <c r="L94" s="1">
        <v>2.1465000000000001</v>
      </c>
      <c r="M94" s="1">
        <v>-55.3</v>
      </c>
      <c r="N94" s="1">
        <v>1</v>
      </c>
      <c r="O94" s="1">
        <v>2.4106000000000001</v>
      </c>
      <c r="P94" s="1">
        <v>0.89429999999999998</v>
      </c>
      <c r="Q94" s="1">
        <v>0.61219999999999997</v>
      </c>
      <c r="R94" s="1">
        <v>-0.74839999999999995</v>
      </c>
      <c r="S94" s="1">
        <v>1.21E-2</v>
      </c>
      <c r="T94" s="1">
        <v>1.9055</v>
      </c>
      <c r="U94" s="1">
        <v>2.7048000000000001</v>
      </c>
      <c r="V94" s="1">
        <v>1.9782</v>
      </c>
      <c r="W94" s="1">
        <v>100.5</v>
      </c>
      <c r="X94" s="1">
        <v>1</v>
      </c>
      <c r="Y94" s="1">
        <v>1.5044999999999999</v>
      </c>
      <c r="AA94" s="1">
        <v>0.52880000000000005</v>
      </c>
      <c r="AB94" s="1">
        <v>-0.68840000000000001</v>
      </c>
      <c r="AC94" s="1">
        <v>0.1822</v>
      </c>
      <c r="AD94" s="1">
        <v>4.0240999999999998</v>
      </c>
      <c r="AE94" s="1">
        <v>4.9836999999999998</v>
      </c>
      <c r="AF94" s="1">
        <v>2.3224</v>
      </c>
    </row>
    <row r="95" spans="1:32" s="1" customFormat="1" ht="11.25" x14ac:dyDescent="0.2">
      <c r="A95" s="1">
        <v>79</v>
      </c>
      <c r="B95" s="1">
        <v>1</v>
      </c>
      <c r="C95" s="1">
        <v>25.1</v>
      </c>
      <c r="D95" s="1">
        <v>1</v>
      </c>
      <c r="E95" s="1">
        <v>2.1408</v>
      </c>
      <c r="F95" s="1">
        <v>0.78520000000000001</v>
      </c>
      <c r="G95" s="1">
        <v>0.53029999999999999</v>
      </c>
      <c r="H95" s="1">
        <v>-0.54139999999999999</v>
      </c>
      <c r="I95" s="1">
        <v>1.2999999999999999E-3</v>
      </c>
      <c r="J95" s="1">
        <v>3.3837000000000002</v>
      </c>
      <c r="K95" s="1">
        <v>3.8996</v>
      </c>
      <c r="L95" s="1">
        <v>1.81</v>
      </c>
      <c r="M95" s="1">
        <v>-55.2</v>
      </c>
      <c r="N95" s="1">
        <v>1</v>
      </c>
      <c r="O95" s="1">
        <v>2.5922000000000001</v>
      </c>
      <c r="P95" s="1">
        <v>0.9002</v>
      </c>
      <c r="Q95" s="1">
        <v>0.55489999999999995</v>
      </c>
      <c r="R95" s="1">
        <v>-0.76090000000000002</v>
      </c>
      <c r="S95" s="1">
        <v>1.47E-2</v>
      </c>
      <c r="T95" s="1">
        <v>1.9336</v>
      </c>
      <c r="U95" s="1">
        <v>2.8140000000000001</v>
      </c>
      <c r="V95" s="1">
        <v>1.6496999999999999</v>
      </c>
      <c r="W95" s="1">
        <v>100.5</v>
      </c>
      <c r="X95" s="1">
        <v>1</v>
      </c>
      <c r="Y95" s="1">
        <v>1.6187</v>
      </c>
      <c r="AA95" s="1">
        <v>0.49590000000000001</v>
      </c>
      <c r="AB95" s="1">
        <v>-0.62549999999999994</v>
      </c>
      <c r="AC95" s="1">
        <v>0.1653</v>
      </c>
      <c r="AD95" s="1">
        <v>3.9207000000000001</v>
      </c>
      <c r="AE95" s="1">
        <v>5.0083000000000002</v>
      </c>
      <c r="AF95" s="1">
        <v>1.9718</v>
      </c>
    </row>
    <row r="96" spans="1:32" s="1" customFormat="1" ht="11.25" x14ac:dyDescent="0.2">
      <c r="A96" s="1">
        <v>80</v>
      </c>
      <c r="B96" s="1">
        <v>1</v>
      </c>
      <c r="C96" s="1">
        <v>25</v>
      </c>
      <c r="D96" s="1">
        <v>1</v>
      </c>
      <c r="E96" s="1">
        <v>1.9998</v>
      </c>
      <c r="F96" s="1">
        <v>0.77849999999999997</v>
      </c>
      <c r="G96" s="1">
        <v>0.50519999999999998</v>
      </c>
      <c r="H96" s="1">
        <v>-0.64059999999999995</v>
      </c>
      <c r="I96" s="1">
        <v>1.4E-3</v>
      </c>
      <c r="J96" s="1">
        <v>3.3515000000000001</v>
      </c>
      <c r="K96" s="1">
        <v>3.7639999999999998</v>
      </c>
      <c r="L96" s="1">
        <v>1.9513</v>
      </c>
      <c r="M96" s="1">
        <v>-55.1</v>
      </c>
      <c r="N96" s="1">
        <v>1</v>
      </c>
      <c r="O96" s="1">
        <v>2.4247999999999998</v>
      </c>
      <c r="P96" s="1">
        <v>0.89300000000000002</v>
      </c>
      <c r="Q96" s="1">
        <v>0.85729999999999995</v>
      </c>
      <c r="R96" s="1">
        <v>-0.92130000000000001</v>
      </c>
      <c r="S96" s="1">
        <v>8.8999999999999999E-3</v>
      </c>
      <c r="T96" s="1">
        <v>1.9195</v>
      </c>
      <c r="U96" s="1">
        <v>2.7054999999999998</v>
      </c>
      <c r="V96" s="1">
        <v>1.7938000000000001</v>
      </c>
      <c r="W96" s="1">
        <v>100.7</v>
      </c>
      <c r="X96" s="1">
        <v>1</v>
      </c>
      <c r="Y96" s="1">
        <v>1.5246999999999999</v>
      </c>
      <c r="AA96" s="1">
        <v>0.53949999999999998</v>
      </c>
      <c r="AB96" s="1">
        <v>-0.6018</v>
      </c>
      <c r="AC96" s="1">
        <v>0.1409</v>
      </c>
      <c r="AD96" s="1">
        <v>3.9238</v>
      </c>
      <c r="AE96" s="1">
        <v>4.9103000000000003</v>
      </c>
      <c r="AF96" s="1">
        <v>2.1124999999999998</v>
      </c>
    </row>
    <row r="97" spans="1:32" s="1" customFormat="1" ht="11.25" x14ac:dyDescent="0.2">
      <c r="A97" s="1">
        <v>82</v>
      </c>
      <c r="B97" s="1">
        <v>1</v>
      </c>
      <c r="C97" s="1">
        <v>25</v>
      </c>
      <c r="D97" s="1">
        <v>1</v>
      </c>
      <c r="E97" s="1">
        <v>1.9574</v>
      </c>
      <c r="F97" s="1">
        <v>0.77600000000000002</v>
      </c>
      <c r="G97" s="1">
        <v>0.45290000000000002</v>
      </c>
      <c r="H97" s="1">
        <v>-0.51910000000000001</v>
      </c>
      <c r="I97" s="1">
        <v>1.4E-3</v>
      </c>
      <c r="J97" s="1">
        <v>3.4239000000000002</v>
      </c>
      <c r="K97" s="1">
        <v>3.7675999999999998</v>
      </c>
      <c r="L97" s="1">
        <v>2.1009000000000002</v>
      </c>
      <c r="M97" s="1">
        <v>-55.1</v>
      </c>
      <c r="N97" s="1">
        <v>1</v>
      </c>
      <c r="O97" s="1">
        <v>2.3666</v>
      </c>
      <c r="P97" s="1">
        <v>0.89549999999999996</v>
      </c>
      <c r="Q97" s="1">
        <v>0.54279999999999995</v>
      </c>
      <c r="R97" s="1">
        <v>-0.58879999999999999</v>
      </c>
      <c r="S97" s="1">
        <v>1.9800000000000002E-2</v>
      </c>
      <c r="T97" s="1">
        <v>1.9201999999999999</v>
      </c>
      <c r="U97" s="1">
        <v>2.6644000000000001</v>
      </c>
      <c r="V97" s="1">
        <v>1.9278</v>
      </c>
      <c r="W97" s="1">
        <v>100.3</v>
      </c>
      <c r="X97" s="1">
        <v>1</v>
      </c>
      <c r="Y97" s="1">
        <v>1.4708000000000001</v>
      </c>
      <c r="AA97" s="1">
        <v>0.56489999999999996</v>
      </c>
      <c r="AB97" s="1">
        <v>-0.75219999999999998</v>
      </c>
      <c r="AC97" s="1">
        <v>0.1971</v>
      </c>
      <c r="AD97" s="1">
        <v>3.9790999999999999</v>
      </c>
      <c r="AE97" s="1">
        <v>4.9406999999999996</v>
      </c>
      <c r="AF97" s="1">
        <v>2.2770999999999999</v>
      </c>
    </row>
    <row r="98" spans="1:32" s="1" customFormat="1" ht="11.25" x14ac:dyDescent="0.2">
      <c r="A98" s="1">
        <v>83</v>
      </c>
      <c r="B98" s="1">
        <v>1</v>
      </c>
      <c r="C98" s="1">
        <v>25.1</v>
      </c>
      <c r="D98" s="1">
        <v>1</v>
      </c>
      <c r="E98" s="1">
        <v>2.0331999999999999</v>
      </c>
      <c r="F98" s="1">
        <v>0.77690000000000003</v>
      </c>
      <c r="G98" s="1">
        <v>0.50539999999999996</v>
      </c>
      <c r="H98" s="1">
        <v>-0.65159999999999996</v>
      </c>
      <c r="I98" s="1">
        <v>1.6000000000000001E-3</v>
      </c>
      <c r="J98" s="1">
        <v>3.3996</v>
      </c>
      <c r="K98" s="1">
        <v>3.8010000000000002</v>
      </c>
      <c r="L98" s="1">
        <v>2.2081</v>
      </c>
      <c r="M98" s="1">
        <v>-55.3</v>
      </c>
      <c r="N98" s="1">
        <v>1</v>
      </c>
      <c r="O98" s="1">
        <v>2.4550999999999998</v>
      </c>
      <c r="P98" s="1">
        <v>0.89380000000000004</v>
      </c>
      <c r="Q98" s="1">
        <v>0.67989999999999995</v>
      </c>
      <c r="R98" s="1">
        <v>-0.8044</v>
      </c>
      <c r="S98" s="1">
        <v>9.5999999999999992E-3</v>
      </c>
      <c r="T98" s="1">
        <v>1.9201999999999999</v>
      </c>
      <c r="U98" s="1">
        <v>2.6934</v>
      </c>
      <c r="V98" s="1">
        <v>2.0425</v>
      </c>
      <c r="W98" s="1">
        <v>100.1</v>
      </c>
      <c r="X98" s="1">
        <v>1</v>
      </c>
      <c r="Y98" s="1">
        <v>1.5417000000000001</v>
      </c>
      <c r="AA98" s="1">
        <v>0.61760000000000004</v>
      </c>
      <c r="AB98" s="1">
        <v>-0.74</v>
      </c>
      <c r="AC98" s="1">
        <v>0.15909999999999999</v>
      </c>
      <c r="AD98" s="1">
        <v>3.9862000000000002</v>
      </c>
      <c r="AE98" s="1">
        <v>4.9729999999999999</v>
      </c>
      <c r="AF98" s="1">
        <v>2.3833000000000002</v>
      </c>
    </row>
    <row r="99" spans="1:32" s="1" customFormat="1" ht="11.25" x14ac:dyDescent="0.2">
      <c r="A99" s="1">
        <v>84</v>
      </c>
      <c r="B99" s="1">
        <v>1</v>
      </c>
      <c r="C99" s="1">
        <v>25.1</v>
      </c>
      <c r="D99" s="1">
        <v>1</v>
      </c>
      <c r="E99" s="1">
        <v>1.9993000000000001</v>
      </c>
      <c r="F99" s="1">
        <v>0.77749999999999997</v>
      </c>
      <c r="G99" s="1">
        <v>0.56599999999999995</v>
      </c>
      <c r="H99" s="1">
        <v>-0.56630000000000003</v>
      </c>
      <c r="I99" s="1">
        <v>1.9E-3</v>
      </c>
      <c r="J99" s="1">
        <v>3.4114</v>
      </c>
      <c r="K99" s="1">
        <v>3.8237000000000001</v>
      </c>
      <c r="L99" s="1">
        <v>2.1387</v>
      </c>
      <c r="M99" s="1">
        <v>-55.3</v>
      </c>
      <c r="N99" s="1">
        <v>1</v>
      </c>
      <c r="O99" s="1">
        <v>2.4167000000000001</v>
      </c>
      <c r="P99" s="1">
        <v>0.89570000000000005</v>
      </c>
      <c r="Q99" s="1">
        <v>0.46079999999999999</v>
      </c>
      <c r="R99" s="1">
        <v>-0.61480000000000001</v>
      </c>
      <c r="S99" s="1">
        <v>2.0500000000000001E-2</v>
      </c>
      <c r="T99" s="1">
        <v>1.9737</v>
      </c>
      <c r="U99" s="1">
        <v>2.7321</v>
      </c>
      <c r="V99" s="1">
        <v>1.9658</v>
      </c>
      <c r="W99" s="1">
        <v>100.4</v>
      </c>
      <c r="X99" s="1">
        <v>1</v>
      </c>
      <c r="Y99" s="1">
        <v>1.5058</v>
      </c>
      <c r="AA99" s="1">
        <v>0.50570000000000004</v>
      </c>
      <c r="AB99" s="1">
        <v>-0.60429999999999995</v>
      </c>
      <c r="AC99" s="1">
        <v>0.1782</v>
      </c>
      <c r="AD99" s="1">
        <v>4.0206999999999997</v>
      </c>
      <c r="AE99" s="1">
        <v>4.9886999999999997</v>
      </c>
      <c r="AF99" s="1">
        <v>2.3142</v>
      </c>
    </row>
    <row r="100" spans="1:32" s="1" customFormat="1" ht="11.25" x14ac:dyDescent="0.2">
      <c r="A100" s="1">
        <v>85</v>
      </c>
      <c r="B100" s="1">
        <v>1</v>
      </c>
      <c r="C100" s="1">
        <v>25</v>
      </c>
      <c r="D100" s="1">
        <v>1</v>
      </c>
      <c r="E100" s="1">
        <v>2.0642999999999998</v>
      </c>
      <c r="F100" s="1">
        <v>0.78129999999999999</v>
      </c>
      <c r="G100" s="1">
        <v>0.43909999999999999</v>
      </c>
      <c r="H100" s="1">
        <v>-0.52759999999999996</v>
      </c>
      <c r="I100" s="1">
        <v>1.6000000000000001E-3</v>
      </c>
      <c r="J100" s="1">
        <v>3.3401999999999998</v>
      </c>
      <c r="K100" s="1">
        <v>3.8281000000000001</v>
      </c>
      <c r="L100" s="1">
        <v>2.0244</v>
      </c>
      <c r="M100" s="1">
        <v>-55</v>
      </c>
      <c r="N100" s="1">
        <v>1</v>
      </c>
      <c r="O100" s="1">
        <v>2.4870999999999999</v>
      </c>
      <c r="P100" s="1">
        <v>0.89470000000000005</v>
      </c>
      <c r="Q100" s="1">
        <v>0.60760000000000003</v>
      </c>
      <c r="R100" s="1">
        <v>-1.0159</v>
      </c>
      <c r="S100" s="1">
        <v>7.4999999999999997E-3</v>
      </c>
      <c r="T100" s="1">
        <v>1.9419</v>
      </c>
      <c r="U100" s="1">
        <v>2.7778</v>
      </c>
      <c r="V100" s="1">
        <v>1.8632</v>
      </c>
      <c r="W100" s="1">
        <v>100.4</v>
      </c>
      <c r="X100" s="1">
        <v>1</v>
      </c>
      <c r="Y100" s="1">
        <v>1.5802</v>
      </c>
      <c r="AA100" s="1">
        <v>0.5444</v>
      </c>
      <c r="AB100" s="1">
        <v>-0.60470000000000002</v>
      </c>
      <c r="AC100" s="1">
        <v>0.13389999999999999</v>
      </c>
      <c r="AD100" s="1">
        <v>3.9651999999999998</v>
      </c>
      <c r="AE100" s="1">
        <v>4.9897</v>
      </c>
      <c r="AF100" s="1">
        <v>2.1894999999999998</v>
      </c>
    </row>
    <row r="101" spans="1:32" s="1" customFormat="1" ht="11.25" x14ac:dyDescent="0.2">
      <c r="A101" s="1">
        <v>86</v>
      </c>
      <c r="B101" s="1">
        <v>1</v>
      </c>
      <c r="C101" s="1">
        <v>25</v>
      </c>
      <c r="D101" s="1">
        <v>1</v>
      </c>
      <c r="E101" s="1">
        <v>1.9323999999999999</v>
      </c>
      <c r="F101" s="1">
        <v>0.77529999999999999</v>
      </c>
      <c r="G101" s="1">
        <v>0.49459999999999998</v>
      </c>
      <c r="H101" s="1">
        <v>-0.53510000000000002</v>
      </c>
      <c r="I101" s="1">
        <v>1.8E-3</v>
      </c>
      <c r="J101" s="1">
        <v>3.4538000000000002</v>
      </c>
      <c r="K101" s="1">
        <v>3.8043</v>
      </c>
      <c r="L101" s="1">
        <v>2.2770000000000001</v>
      </c>
      <c r="M101" s="1">
        <v>-55.2</v>
      </c>
      <c r="N101" s="1">
        <v>1</v>
      </c>
      <c r="O101" s="1">
        <v>2.3391999999999999</v>
      </c>
      <c r="P101" s="1">
        <v>0.89049999999999996</v>
      </c>
      <c r="Q101" s="1">
        <v>0.82210000000000005</v>
      </c>
      <c r="R101" s="1">
        <v>-1.1048</v>
      </c>
      <c r="S101" s="1">
        <v>8.5000000000000006E-3</v>
      </c>
      <c r="T101" s="1">
        <v>1.9842</v>
      </c>
      <c r="U101" s="1">
        <v>2.7208999999999999</v>
      </c>
      <c r="V101" s="1">
        <v>2.1114999999999999</v>
      </c>
      <c r="W101" s="1">
        <v>100.6</v>
      </c>
      <c r="X101" s="1">
        <v>1</v>
      </c>
      <c r="Y101" s="1">
        <v>1.4702</v>
      </c>
      <c r="AA101" s="1">
        <v>0.501</v>
      </c>
      <c r="AB101" s="1">
        <v>-0.66549999999999998</v>
      </c>
      <c r="AC101" s="1">
        <v>0.13569999999999999</v>
      </c>
      <c r="AD101" s="1">
        <v>4.0323000000000002</v>
      </c>
      <c r="AE101" s="1">
        <v>4.9924999999999997</v>
      </c>
      <c r="AF101" s="1">
        <v>2.4504999999999999</v>
      </c>
    </row>
    <row r="102" spans="1:32" s="1" customFormat="1" ht="11.25" x14ac:dyDescent="0.2">
      <c r="A102" s="1">
        <v>87</v>
      </c>
      <c r="B102" s="1">
        <v>1</v>
      </c>
      <c r="C102" s="1">
        <v>25.1</v>
      </c>
      <c r="D102" s="1">
        <v>1</v>
      </c>
      <c r="E102" s="1">
        <v>2.0524</v>
      </c>
      <c r="F102" s="1">
        <v>0.77759999999999996</v>
      </c>
      <c r="G102" s="1">
        <v>0.57010000000000005</v>
      </c>
      <c r="H102" s="1">
        <v>-0.60719999999999996</v>
      </c>
      <c r="I102" s="1">
        <v>1.4E-3</v>
      </c>
      <c r="J102" s="1">
        <v>3.2988</v>
      </c>
      <c r="K102" s="1">
        <v>3.7814999999999999</v>
      </c>
      <c r="L102" s="1">
        <v>2.1358000000000001</v>
      </c>
      <c r="M102" s="1">
        <v>-55.1</v>
      </c>
      <c r="N102" s="1">
        <v>1</v>
      </c>
      <c r="O102" s="1">
        <v>2.4908999999999999</v>
      </c>
      <c r="P102" s="1">
        <v>0.89449999999999996</v>
      </c>
      <c r="Q102" s="1">
        <v>0.47889999999999999</v>
      </c>
      <c r="R102" s="1">
        <v>-0.7772</v>
      </c>
      <c r="S102" s="1">
        <v>1.78E-2</v>
      </c>
      <c r="T102" s="1">
        <v>1.8844000000000001</v>
      </c>
      <c r="U102" s="1">
        <v>2.7073</v>
      </c>
      <c r="V102" s="1">
        <v>1.9649000000000001</v>
      </c>
      <c r="W102" s="1">
        <v>100.8</v>
      </c>
      <c r="X102" s="1">
        <v>1</v>
      </c>
      <c r="Y102" s="1">
        <v>1.5462</v>
      </c>
      <c r="AA102" s="1">
        <v>0.51790000000000003</v>
      </c>
      <c r="AB102" s="1">
        <v>-0.60389999999999999</v>
      </c>
      <c r="AC102" s="1">
        <v>0.1651</v>
      </c>
      <c r="AD102" s="1">
        <v>3.9662999999999999</v>
      </c>
      <c r="AE102" s="1">
        <v>4.9642999999999997</v>
      </c>
      <c r="AF102" s="1">
        <v>2.3102</v>
      </c>
    </row>
    <row r="103" spans="1:32" s="1" customFormat="1" ht="11.25" x14ac:dyDescent="0.2">
      <c r="A103" s="1">
        <v>88</v>
      </c>
      <c r="B103" s="1">
        <v>1</v>
      </c>
      <c r="C103" s="1">
        <v>24.9</v>
      </c>
      <c r="D103" s="1">
        <v>1</v>
      </c>
      <c r="E103" s="1">
        <v>2.0270999999999999</v>
      </c>
      <c r="F103" s="1">
        <v>0.78739999999999999</v>
      </c>
      <c r="G103" s="1">
        <v>0.55169999999999997</v>
      </c>
      <c r="H103" s="1">
        <v>-0.64229999999999998</v>
      </c>
      <c r="I103" s="1">
        <v>1.4E-3</v>
      </c>
      <c r="J103" s="1">
        <v>3.3767</v>
      </c>
      <c r="K103" s="1">
        <v>4.2324999999999999</v>
      </c>
      <c r="L103" s="1">
        <v>1.7956000000000001</v>
      </c>
      <c r="M103" s="1">
        <v>-55.4</v>
      </c>
      <c r="N103" s="1">
        <v>1</v>
      </c>
      <c r="O103" s="1">
        <v>2.4329999999999998</v>
      </c>
      <c r="P103" s="1">
        <v>0.89980000000000004</v>
      </c>
      <c r="Q103" s="1">
        <v>0.76770000000000005</v>
      </c>
      <c r="R103" s="1">
        <v>-1.3759999999999999</v>
      </c>
      <c r="S103" s="1">
        <v>1.4800000000000001E-2</v>
      </c>
      <c r="T103" s="1">
        <v>1.9513</v>
      </c>
      <c r="U103" s="1">
        <v>3.1882999999999999</v>
      </c>
      <c r="V103" s="1">
        <v>1.6415</v>
      </c>
      <c r="W103" s="1">
        <v>101.2</v>
      </c>
      <c r="X103" s="1">
        <v>1</v>
      </c>
      <c r="Y103" s="1">
        <v>1.5654999999999999</v>
      </c>
      <c r="AA103" s="1">
        <v>0.5554</v>
      </c>
      <c r="AB103" s="1">
        <v>-0.75170000000000003</v>
      </c>
      <c r="AC103" s="1">
        <v>0.1336</v>
      </c>
      <c r="AD103" s="1">
        <v>3.9451000000000001</v>
      </c>
      <c r="AE103" s="1">
        <v>5.3114999999999997</v>
      </c>
      <c r="AF103" s="1">
        <v>1.9532</v>
      </c>
    </row>
    <row r="104" spans="1:32" s="1" customFormat="1" ht="11.25" x14ac:dyDescent="0.2">
      <c r="A104" s="1">
        <v>89</v>
      </c>
      <c r="B104" s="1">
        <v>1</v>
      </c>
      <c r="C104" s="1">
        <v>25</v>
      </c>
      <c r="D104" s="1">
        <v>1</v>
      </c>
      <c r="E104" s="1">
        <v>1.9777</v>
      </c>
      <c r="F104" s="1">
        <v>0.77849999999999997</v>
      </c>
      <c r="G104" s="1">
        <v>0.52710000000000001</v>
      </c>
      <c r="H104" s="1">
        <v>-0.55020000000000002</v>
      </c>
      <c r="I104" s="1">
        <v>1.6000000000000001E-3</v>
      </c>
      <c r="J104" s="1">
        <v>3.3675999999999999</v>
      </c>
      <c r="K104" s="1">
        <v>3.8079000000000001</v>
      </c>
      <c r="L104" s="1">
        <v>2.1227999999999998</v>
      </c>
      <c r="M104" s="1">
        <v>-55</v>
      </c>
      <c r="N104" s="1">
        <v>1</v>
      </c>
      <c r="O104" s="1">
        <v>2.383</v>
      </c>
      <c r="P104" s="1">
        <v>0.89510000000000001</v>
      </c>
      <c r="Q104" s="1">
        <v>0.68110000000000004</v>
      </c>
      <c r="R104" s="1">
        <v>-0.87729999999999997</v>
      </c>
      <c r="S104" s="1">
        <v>1.1299999999999999E-2</v>
      </c>
      <c r="T104" s="1">
        <v>1.8848</v>
      </c>
      <c r="U104" s="1">
        <v>2.7231999999999998</v>
      </c>
      <c r="V104" s="1">
        <v>1.9551000000000001</v>
      </c>
      <c r="W104" s="1">
        <v>100.3</v>
      </c>
      <c r="X104" s="1">
        <v>1</v>
      </c>
      <c r="Y104" s="1">
        <v>1.5044999999999999</v>
      </c>
      <c r="AA104" s="1">
        <v>0.58520000000000005</v>
      </c>
      <c r="AB104" s="1">
        <v>-0.75109999999999999</v>
      </c>
      <c r="AC104" s="1">
        <v>0.16569999999999999</v>
      </c>
      <c r="AD104" s="1">
        <v>4.0152000000000001</v>
      </c>
      <c r="AE104" s="1">
        <v>5.0259999999999998</v>
      </c>
      <c r="AF104" s="1">
        <v>2.2959000000000001</v>
      </c>
    </row>
    <row r="105" spans="1:32" s="1" customFormat="1" ht="11.25" x14ac:dyDescent="0.2">
      <c r="A105" s="1">
        <v>90</v>
      </c>
      <c r="B105" s="1">
        <v>1</v>
      </c>
      <c r="C105" s="1">
        <v>25</v>
      </c>
      <c r="D105" s="1">
        <v>1</v>
      </c>
      <c r="E105" s="1">
        <v>2.2115999999999998</v>
      </c>
      <c r="F105" s="1">
        <v>0.78469999999999995</v>
      </c>
      <c r="G105" s="1">
        <v>0.4461</v>
      </c>
      <c r="H105" s="1">
        <v>-0.52090000000000003</v>
      </c>
      <c r="I105" s="1">
        <v>1.6000000000000001E-3</v>
      </c>
      <c r="J105" s="1">
        <v>3.4375</v>
      </c>
      <c r="K105" s="1">
        <v>3.9994999999999998</v>
      </c>
      <c r="L105" s="1">
        <v>1.9388000000000001</v>
      </c>
      <c r="M105" s="1">
        <v>-55.1</v>
      </c>
      <c r="N105" s="1">
        <v>1</v>
      </c>
      <c r="O105" s="1">
        <v>2.6905999999999999</v>
      </c>
      <c r="P105" s="1">
        <v>0.89810000000000001</v>
      </c>
      <c r="Q105" s="1">
        <v>0.65949999999999998</v>
      </c>
      <c r="R105" s="1">
        <v>-1.0266999999999999</v>
      </c>
      <c r="S105" s="1">
        <v>1.26E-2</v>
      </c>
      <c r="T105" s="1">
        <v>1.9778</v>
      </c>
      <c r="U105" s="1">
        <v>2.9308000000000001</v>
      </c>
      <c r="V105" s="1">
        <v>1.7824</v>
      </c>
      <c r="W105" s="1">
        <v>100.3</v>
      </c>
      <c r="X105" s="1">
        <v>1</v>
      </c>
      <c r="Y105" s="1">
        <v>1.6771</v>
      </c>
      <c r="AA105" s="1">
        <v>0.52380000000000004</v>
      </c>
      <c r="AB105" s="1">
        <v>-0.60650000000000004</v>
      </c>
      <c r="AC105" s="1">
        <v>0.12920000000000001</v>
      </c>
      <c r="AD105" s="1">
        <v>4.1618000000000004</v>
      </c>
      <c r="AE105" s="1">
        <v>5.3101000000000003</v>
      </c>
      <c r="AF105" s="1">
        <v>2.1029</v>
      </c>
    </row>
    <row r="106" spans="1:32" s="1" customFormat="1" ht="11.25" x14ac:dyDescent="0.2">
      <c r="A106" s="1">
        <v>91</v>
      </c>
      <c r="B106" s="1">
        <v>1</v>
      </c>
      <c r="C106" s="1">
        <v>25</v>
      </c>
      <c r="D106" s="1">
        <v>1</v>
      </c>
      <c r="E106" s="1">
        <v>1.9309000000000001</v>
      </c>
      <c r="F106" s="1">
        <v>0.77539999999999998</v>
      </c>
      <c r="G106" s="1">
        <v>0.58220000000000005</v>
      </c>
      <c r="H106" s="1">
        <v>-0.63200000000000001</v>
      </c>
      <c r="I106" s="1">
        <v>1.5E-3</v>
      </c>
      <c r="J106" s="1">
        <v>3.4003999999999999</v>
      </c>
      <c r="K106" s="1">
        <v>3.7654999999999998</v>
      </c>
      <c r="L106" s="1">
        <v>2.2746</v>
      </c>
      <c r="M106" s="1">
        <v>-55.4</v>
      </c>
      <c r="N106" s="1">
        <v>1</v>
      </c>
      <c r="O106" s="1">
        <v>2.3532000000000002</v>
      </c>
      <c r="P106" s="1">
        <v>0.89280000000000004</v>
      </c>
      <c r="Q106" s="1">
        <v>0.68189999999999995</v>
      </c>
      <c r="R106" s="1">
        <v>-0.8911</v>
      </c>
      <c r="S106" s="1">
        <v>7.7999999999999996E-3</v>
      </c>
      <c r="T106" s="1">
        <v>1.9171</v>
      </c>
      <c r="U106" s="1">
        <v>2.6886000000000001</v>
      </c>
      <c r="V106" s="1">
        <v>2.1084000000000001</v>
      </c>
      <c r="W106" s="1">
        <v>100.5</v>
      </c>
      <c r="X106" s="1">
        <v>1</v>
      </c>
      <c r="Y106" s="1">
        <v>1.4471000000000001</v>
      </c>
      <c r="AA106" s="1">
        <v>0.59619999999999995</v>
      </c>
      <c r="AB106" s="1">
        <v>-0.74960000000000004</v>
      </c>
      <c r="AC106" s="1">
        <v>0.17019999999999999</v>
      </c>
      <c r="AD106" s="1">
        <v>4.0568</v>
      </c>
      <c r="AE106" s="1">
        <v>4.9958999999999998</v>
      </c>
      <c r="AF106" s="1">
        <v>2.4531999999999998</v>
      </c>
    </row>
    <row r="107" spans="1:32" s="1" customFormat="1" ht="11.25" x14ac:dyDescent="0.2">
      <c r="A107" s="1">
        <v>92</v>
      </c>
      <c r="B107" s="1">
        <v>1</v>
      </c>
      <c r="C107" s="1">
        <v>25</v>
      </c>
      <c r="D107" s="1">
        <v>1</v>
      </c>
      <c r="E107" s="1">
        <v>2.0093000000000001</v>
      </c>
      <c r="F107" s="1">
        <v>0.77980000000000005</v>
      </c>
      <c r="G107" s="1">
        <v>0.55400000000000005</v>
      </c>
      <c r="H107" s="1">
        <v>-0.56030000000000002</v>
      </c>
      <c r="I107" s="1">
        <v>1.5E-3</v>
      </c>
      <c r="J107" s="1">
        <v>3.4815999999999998</v>
      </c>
      <c r="K107" s="1">
        <v>3.8915000000000002</v>
      </c>
      <c r="L107" s="1">
        <v>2.0796999999999999</v>
      </c>
      <c r="M107" s="1">
        <v>-55.1</v>
      </c>
      <c r="N107" s="1">
        <v>1</v>
      </c>
      <c r="O107" s="1">
        <v>2.4211</v>
      </c>
      <c r="P107" s="1">
        <v>0.89739999999999998</v>
      </c>
      <c r="Q107" s="1">
        <v>2.5619999999999998</v>
      </c>
      <c r="R107" s="1">
        <v>-5.3651</v>
      </c>
      <c r="S107" s="1">
        <v>3.8999999999999998E-3</v>
      </c>
      <c r="T107" s="1">
        <v>1.9067000000000001</v>
      </c>
      <c r="U107" s="1">
        <v>2.7605</v>
      </c>
      <c r="V107" s="1">
        <v>1.9259999999999999</v>
      </c>
      <c r="W107" s="1">
        <v>100.6</v>
      </c>
      <c r="X107" s="1">
        <v>1</v>
      </c>
      <c r="Y107" s="1">
        <v>1.5089999999999999</v>
      </c>
      <c r="AA107" s="1">
        <v>0.57289999999999996</v>
      </c>
      <c r="AB107" s="1">
        <v>-0.85740000000000005</v>
      </c>
      <c r="AC107" s="1">
        <v>0.19839999999999999</v>
      </c>
      <c r="AD107" s="1">
        <v>4.1003999999999996</v>
      </c>
      <c r="AE107" s="1">
        <v>5.1420000000000003</v>
      </c>
      <c r="AF107" s="1">
        <v>2.2570000000000001</v>
      </c>
    </row>
    <row r="108" spans="1:32" s="1" customFormat="1" ht="11.25" x14ac:dyDescent="0.2">
      <c r="A108" s="1">
        <v>93</v>
      </c>
      <c r="B108" s="1">
        <v>1</v>
      </c>
      <c r="C108" s="1">
        <v>25</v>
      </c>
      <c r="D108" s="1">
        <v>1</v>
      </c>
      <c r="E108" s="1">
        <v>2.2021999999999999</v>
      </c>
      <c r="F108" s="1">
        <v>0.78659999999999997</v>
      </c>
      <c r="G108" s="1">
        <v>0.55500000000000005</v>
      </c>
      <c r="H108" s="1">
        <v>-0.59160000000000001</v>
      </c>
      <c r="I108" s="1">
        <v>1.1000000000000001E-3</v>
      </c>
      <c r="J108" s="1">
        <v>3.4074</v>
      </c>
      <c r="K108" s="1">
        <v>3.9691000000000001</v>
      </c>
      <c r="L108" s="1">
        <v>1.7361</v>
      </c>
      <c r="M108" s="1">
        <v>-55.2</v>
      </c>
      <c r="N108" s="1">
        <v>1</v>
      </c>
      <c r="O108" s="1">
        <v>2.6556000000000002</v>
      </c>
      <c r="P108" s="1">
        <v>0.90149999999999997</v>
      </c>
      <c r="Q108" s="1">
        <v>0.60870000000000002</v>
      </c>
      <c r="R108" s="1">
        <v>-0.72340000000000004</v>
      </c>
      <c r="S108" s="1">
        <v>1.52E-2</v>
      </c>
      <c r="T108" s="1">
        <v>1.9247000000000001</v>
      </c>
      <c r="U108" s="1">
        <v>2.9527000000000001</v>
      </c>
      <c r="V108" s="1">
        <v>1.5806</v>
      </c>
      <c r="W108" s="1">
        <v>100.6</v>
      </c>
      <c r="X108" s="1">
        <v>1</v>
      </c>
      <c r="Y108" s="1">
        <v>1.6691</v>
      </c>
      <c r="AA108" s="1">
        <v>0.52910000000000001</v>
      </c>
      <c r="AB108" s="1">
        <v>-0.64319999999999999</v>
      </c>
      <c r="AC108" s="1">
        <v>0.18140000000000001</v>
      </c>
      <c r="AD108" s="1">
        <v>3.9224999999999999</v>
      </c>
      <c r="AE108" s="1">
        <v>5.0808</v>
      </c>
      <c r="AF108" s="1">
        <v>1.8951</v>
      </c>
    </row>
    <row r="109" spans="1:32" s="1" customFormat="1" ht="11.25" x14ac:dyDescent="0.2">
      <c r="A109" s="1">
        <v>94</v>
      </c>
      <c r="B109" s="1">
        <v>1</v>
      </c>
      <c r="C109" s="1">
        <v>24.9</v>
      </c>
      <c r="D109" s="1">
        <v>1</v>
      </c>
      <c r="E109" s="1">
        <v>1.9412</v>
      </c>
      <c r="F109" s="1">
        <v>0.77539999999999998</v>
      </c>
      <c r="G109" s="1">
        <v>0.44569999999999999</v>
      </c>
      <c r="H109" s="1">
        <v>-0.52710000000000001</v>
      </c>
      <c r="I109" s="1">
        <v>1.6000000000000001E-3</v>
      </c>
      <c r="J109" s="1">
        <v>3.3471000000000002</v>
      </c>
      <c r="K109" s="1">
        <v>3.7461000000000002</v>
      </c>
      <c r="L109" s="1">
        <v>2.1494</v>
      </c>
      <c r="M109" s="1">
        <v>-55.4</v>
      </c>
      <c r="N109" s="1">
        <v>1</v>
      </c>
      <c r="O109" s="1">
        <v>2.3671000000000002</v>
      </c>
      <c r="P109" s="1">
        <v>0.89470000000000005</v>
      </c>
      <c r="Q109" s="1">
        <v>0.62429999999999997</v>
      </c>
      <c r="R109" s="1">
        <v>-0.77739999999999998</v>
      </c>
      <c r="S109" s="1">
        <v>1.9099999999999999E-2</v>
      </c>
      <c r="T109" s="1">
        <v>1.9379999999999999</v>
      </c>
      <c r="U109" s="1">
        <v>2.6537000000000002</v>
      </c>
      <c r="V109" s="1">
        <v>1.9767999999999999</v>
      </c>
      <c r="W109" s="1">
        <v>100.8</v>
      </c>
      <c r="X109" s="1">
        <v>1</v>
      </c>
      <c r="Y109" s="1">
        <v>1.4452</v>
      </c>
      <c r="AA109" s="1">
        <v>0.63339999999999996</v>
      </c>
      <c r="AB109" s="1">
        <v>-0.68540000000000001</v>
      </c>
      <c r="AC109" s="1">
        <v>0.2026</v>
      </c>
      <c r="AD109" s="1">
        <v>3.9977999999999998</v>
      </c>
      <c r="AE109" s="1">
        <v>4.9448999999999996</v>
      </c>
      <c r="AF109" s="1">
        <v>2.3268</v>
      </c>
    </row>
    <row r="110" spans="1:32" s="1" customFormat="1" ht="11.25" x14ac:dyDescent="0.2">
      <c r="A110" s="1">
        <v>95</v>
      </c>
      <c r="B110" s="1">
        <v>1</v>
      </c>
      <c r="C110" s="1">
        <v>25</v>
      </c>
      <c r="D110" s="1">
        <v>1</v>
      </c>
      <c r="E110" s="1">
        <v>2.0364</v>
      </c>
      <c r="F110" s="1">
        <v>0.77649999999999997</v>
      </c>
      <c r="G110" s="1">
        <v>0.56889999999999996</v>
      </c>
      <c r="H110" s="1">
        <v>-0.6159</v>
      </c>
      <c r="I110" s="1">
        <v>1.1999999999999999E-3</v>
      </c>
      <c r="J110" s="1">
        <v>3.3595999999999999</v>
      </c>
      <c r="K110" s="1">
        <v>3.7921</v>
      </c>
      <c r="L110" s="1">
        <v>2.1818</v>
      </c>
      <c r="M110" s="1">
        <v>-55.3</v>
      </c>
      <c r="N110" s="1">
        <v>1</v>
      </c>
      <c r="O110" s="1">
        <v>2.4721000000000002</v>
      </c>
      <c r="P110" s="1">
        <v>0.89439999999999997</v>
      </c>
      <c r="Q110" s="1">
        <v>0.54890000000000005</v>
      </c>
      <c r="R110" s="1">
        <v>-0.77729999999999999</v>
      </c>
      <c r="S110" s="1">
        <v>1.4E-2</v>
      </c>
      <c r="T110" s="1">
        <v>1.9218999999999999</v>
      </c>
      <c r="U110" s="1">
        <v>2.7185000000000001</v>
      </c>
      <c r="V110" s="1">
        <v>2.0116999999999998</v>
      </c>
      <c r="W110" s="1">
        <v>100.3</v>
      </c>
      <c r="X110" s="1">
        <v>1</v>
      </c>
      <c r="Y110" s="1">
        <v>1.5407999999999999</v>
      </c>
      <c r="AA110" s="1">
        <v>0.52729999999999999</v>
      </c>
      <c r="AB110" s="1">
        <v>-0.60829999999999995</v>
      </c>
      <c r="AC110" s="1">
        <v>0.17080000000000001</v>
      </c>
      <c r="AD110" s="1">
        <v>3.9805000000000001</v>
      </c>
      <c r="AE110" s="1">
        <v>4.9752999999999998</v>
      </c>
      <c r="AF110" s="1">
        <v>2.3573</v>
      </c>
    </row>
    <row r="111" spans="1:32" s="1" customFormat="1" ht="11.25" x14ac:dyDescent="0.2">
      <c r="A111" s="1">
        <v>96</v>
      </c>
      <c r="B111" s="1">
        <v>1</v>
      </c>
      <c r="C111" s="1">
        <v>25</v>
      </c>
      <c r="D111" s="1">
        <v>1</v>
      </c>
      <c r="E111" s="1">
        <v>1.988</v>
      </c>
      <c r="F111" s="1">
        <v>0.7802</v>
      </c>
      <c r="G111" s="1">
        <v>0.48249999999999998</v>
      </c>
      <c r="H111" s="1">
        <v>-0.49790000000000001</v>
      </c>
      <c r="I111" s="1">
        <v>1.6000000000000001E-3</v>
      </c>
      <c r="J111" s="1">
        <v>3.2650999999999999</v>
      </c>
      <c r="K111" s="1">
        <v>3.7602000000000002</v>
      </c>
      <c r="L111" s="1">
        <v>1.8664000000000001</v>
      </c>
      <c r="M111" s="1">
        <v>-55.3</v>
      </c>
      <c r="N111" s="1">
        <v>1</v>
      </c>
      <c r="O111" s="1">
        <v>2.3950999999999998</v>
      </c>
      <c r="P111" s="1">
        <v>0.89749999999999996</v>
      </c>
      <c r="Q111" s="1">
        <v>0.67030000000000001</v>
      </c>
      <c r="R111" s="1">
        <v>-0.64549999999999996</v>
      </c>
      <c r="S111" s="1">
        <v>1.67E-2</v>
      </c>
      <c r="T111" s="1">
        <v>1.8491</v>
      </c>
      <c r="U111" s="1">
        <v>2.6583000000000001</v>
      </c>
      <c r="V111" s="1">
        <v>1.7049000000000001</v>
      </c>
      <c r="W111" s="1">
        <v>100.2</v>
      </c>
      <c r="X111" s="1">
        <v>1</v>
      </c>
      <c r="Y111" s="1">
        <v>1.5093000000000001</v>
      </c>
      <c r="AA111" s="1">
        <v>0.60699999999999998</v>
      </c>
      <c r="AB111" s="1">
        <v>-0.749</v>
      </c>
      <c r="AC111" s="1">
        <v>0.17879999999999999</v>
      </c>
      <c r="AD111" s="1">
        <v>3.8681000000000001</v>
      </c>
      <c r="AE111" s="1">
        <v>4.9023000000000003</v>
      </c>
      <c r="AF111" s="1">
        <v>2.0314999999999999</v>
      </c>
    </row>
    <row r="112" spans="1:32" s="1" customFormat="1" ht="11.25" x14ac:dyDescent="0.2">
      <c r="A112" s="1">
        <v>97</v>
      </c>
      <c r="B112" s="1">
        <v>1</v>
      </c>
      <c r="C112" s="1">
        <v>24.8</v>
      </c>
      <c r="D112" s="1">
        <v>1</v>
      </c>
      <c r="E112" s="1">
        <v>1.9648000000000001</v>
      </c>
      <c r="F112" s="1">
        <v>0.77690000000000003</v>
      </c>
      <c r="G112" s="1">
        <v>0.57889999999999997</v>
      </c>
      <c r="H112" s="1">
        <v>-0.62460000000000004</v>
      </c>
      <c r="I112" s="1">
        <v>1.4E-3</v>
      </c>
      <c r="J112" s="1">
        <v>3.2865000000000002</v>
      </c>
      <c r="K112" s="1">
        <v>3.7115</v>
      </c>
      <c r="L112" s="1">
        <v>2.0547</v>
      </c>
      <c r="M112" s="1">
        <v>-55.1</v>
      </c>
      <c r="N112" s="1">
        <v>1</v>
      </c>
      <c r="O112" s="1">
        <v>2.3885000000000001</v>
      </c>
      <c r="P112" s="1">
        <v>0.89480000000000004</v>
      </c>
      <c r="Q112" s="1">
        <v>0.57950000000000002</v>
      </c>
      <c r="R112" s="1">
        <v>-0.747</v>
      </c>
      <c r="S112" s="1">
        <v>1.2999999999999999E-2</v>
      </c>
      <c r="T112" s="1">
        <v>1.8702000000000001</v>
      </c>
      <c r="U112" s="1">
        <v>2.641</v>
      </c>
      <c r="V112" s="1">
        <v>1.8883000000000001</v>
      </c>
      <c r="W112" s="1">
        <v>100.5</v>
      </c>
      <c r="X112" s="1">
        <v>1</v>
      </c>
      <c r="Y112" s="1">
        <v>1.4756</v>
      </c>
      <c r="AA112" s="1">
        <v>0.60860000000000003</v>
      </c>
      <c r="AB112" s="1">
        <v>-0.72770000000000001</v>
      </c>
      <c r="AC112" s="1">
        <v>0.17810000000000001</v>
      </c>
      <c r="AD112" s="1">
        <v>3.9542999999999999</v>
      </c>
      <c r="AE112" s="1">
        <v>4.8838999999999997</v>
      </c>
      <c r="AF112" s="1">
        <v>2.2267999999999999</v>
      </c>
    </row>
    <row r="113" spans="1:32" s="1" customFormat="1" ht="11.25" x14ac:dyDescent="0.2">
      <c r="A113" s="1">
        <v>99</v>
      </c>
      <c r="B113" s="1">
        <v>1</v>
      </c>
      <c r="C113" s="1">
        <v>24.9</v>
      </c>
      <c r="D113" s="1">
        <v>1</v>
      </c>
      <c r="E113" s="1">
        <v>2.0287999999999999</v>
      </c>
      <c r="F113" s="1">
        <v>0.78</v>
      </c>
      <c r="G113" s="1">
        <v>0.4874</v>
      </c>
      <c r="H113" s="1">
        <v>-0.63239999999999996</v>
      </c>
      <c r="I113" s="1">
        <v>1.1999999999999999E-3</v>
      </c>
      <c r="J113" s="1">
        <v>3.3386</v>
      </c>
      <c r="K113" s="1">
        <v>3.8062999999999998</v>
      </c>
      <c r="L113" s="1">
        <v>2.0743999999999998</v>
      </c>
      <c r="M113" s="1">
        <v>-55.2</v>
      </c>
      <c r="N113" s="1">
        <v>1</v>
      </c>
      <c r="O113" s="1">
        <v>2.4451000000000001</v>
      </c>
      <c r="P113" s="1">
        <v>0.89490000000000003</v>
      </c>
      <c r="Q113" s="1">
        <v>0.52729999999999999</v>
      </c>
      <c r="R113" s="1">
        <v>-0.72130000000000005</v>
      </c>
      <c r="S113" s="1">
        <v>1.38E-2</v>
      </c>
      <c r="T113" s="1">
        <v>1.9105000000000001</v>
      </c>
      <c r="U113" s="1">
        <v>2.7446999999999999</v>
      </c>
      <c r="V113" s="1">
        <v>1.9118999999999999</v>
      </c>
      <c r="W113" s="1">
        <v>100.1</v>
      </c>
      <c r="X113" s="1">
        <v>1</v>
      </c>
      <c r="Y113" s="1">
        <v>1.544</v>
      </c>
      <c r="AA113" s="1">
        <v>0.48470000000000002</v>
      </c>
      <c r="AB113" s="1">
        <v>-0.66010000000000002</v>
      </c>
      <c r="AC113" s="1">
        <v>0.15329999999999999</v>
      </c>
      <c r="AD113" s="1">
        <v>3.9582999999999999</v>
      </c>
      <c r="AE113" s="1">
        <v>4.9832999999999998</v>
      </c>
      <c r="AF113" s="1">
        <v>2.2450999999999999</v>
      </c>
    </row>
    <row r="114" spans="1:32" s="1" customFormat="1" ht="11.25" x14ac:dyDescent="0.2">
      <c r="A114" s="1">
        <v>100</v>
      </c>
      <c r="B114" s="1">
        <v>1</v>
      </c>
      <c r="C114" s="1">
        <v>25.1</v>
      </c>
      <c r="D114" s="1">
        <v>1</v>
      </c>
      <c r="E114" s="1">
        <v>2.0369000000000002</v>
      </c>
      <c r="F114" s="1">
        <v>0.78669999999999995</v>
      </c>
      <c r="G114" s="1">
        <v>0.50090000000000001</v>
      </c>
      <c r="H114" s="1">
        <v>-0.51239999999999997</v>
      </c>
      <c r="I114" s="1">
        <v>1.4E-3</v>
      </c>
      <c r="J114" s="1">
        <v>3.3283999999999998</v>
      </c>
      <c r="K114" s="1">
        <v>4.3902999999999999</v>
      </c>
      <c r="L114" s="1">
        <v>1.8069</v>
      </c>
      <c r="M114" s="1">
        <v>-56.2</v>
      </c>
      <c r="N114" s="1">
        <v>1</v>
      </c>
      <c r="O114" s="1">
        <v>2.4340000000000002</v>
      </c>
      <c r="P114" s="1">
        <v>0.89839999999999998</v>
      </c>
      <c r="Q114" s="1">
        <v>1.2351000000000001</v>
      </c>
      <c r="R114" s="1">
        <v>-8.6128</v>
      </c>
      <c r="S114" s="1">
        <v>1.1900000000000001E-2</v>
      </c>
      <c r="T114" s="1">
        <v>1.8928</v>
      </c>
      <c r="U114" s="1">
        <v>3.2618</v>
      </c>
      <c r="V114" s="1">
        <v>1.6556999999999999</v>
      </c>
      <c r="W114" s="1">
        <v>100.6</v>
      </c>
      <c r="X114" s="1">
        <v>1</v>
      </c>
      <c r="Y114" s="1">
        <v>1.5375000000000001</v>
      </c>
      <c r="AA114" s="1">
        <v>0.99</v>
      </c>
      <c r="AB114" s="1">
        <v>-1.077</v>
      </c>
      <c r="AC114" s="1">
        <v>0.2087</v>
      </c>
      <c r="AD114" s="1">
        <v>4.0228999999999999</v>
      </c>
      <c r="AE114" s="1">
        <v>5.6828000000000003</v>
      </c>
      <c r="AF114" s="1">
        <v>1.9754</v>
      </c>
    </row>
    <row r="115" spans="1:32" s="1" customFormat="1" ht="11.25" x14ac:dyDescent="0.2">
      <c r="A115" s="1">
        <v>101</v>
      </c>
      <c r="B115" s="1">
        <v>1</v>
      </c>
      <c r="C115" s="1">
        <v>24.8</v>
      </c>
      <c r="D115" s="1">
        <v>1</v>
      </c>
      <c r="E115" s="1">
        <v>2.0249999999999999</v>
      </c>
      <c r="F115" s="1">
        <v>0.77649999999999997</v>
      </c>
      <c r="G115" s="1">
        <v>0.47489999999999999</v>
      </c>
      <c r="H115" s="1">
        <v>-0.62239999999999995</v>
      </c>
      <c r="I115" s="1">
        <v>1.6000000000000001E-3</v>
      </c>
      <c r="J115" s="1">
        <v>3.4891000000000001</v>
      </c>
      <c r="K115" s="1">
        <v>3.8828</v>
      </c>
      <c r="L115" s="1">
        <v>2.2759</v>
      </c>
      <c r="M115" s="1">
        <v>-55.1</v>
      </c>
      <c r="N115" s="1">
        <v>1</v>
      </c>
      <c r="O115" s="1">
        <v>2.4519000000000002</v>
      </c>
      <c r="P115" s="1">
        <v>0.89490000000000003</v>
      </c>
      <c r="Q115" s="1">
        <v>0.51839999999999997</v>
      </c>
      <c r="R115" s="1">
        <v>-0.51670000000000005</v>
      </c>
      <c r="S115" s="1">
        <v>0.02</v>
      </c>
      <c r="T115" s="1">
        <v>1.9533</v>
      </c>
      <c r="U115" s="1">
        <v>2.7656999999999998</v>
      </c>
      <c r="V115" s="1">
        <v>2.0977000000000001</v>
      </c>
      <c r="W115" s="1">
        <v>100.8</v>
      </c>
      <c r="X115" s="1">
        <v>1</v>
      </c>
      <c r="Y115" s="1">
        <v>1.5193000000000001</v>
      </c>
      <c r="AA115" s="1">
        <v>0.61680000000000001</v>
      </c>
      <c r="AB115" s="1">
        <v>-0.67379999999999995</v>
      </c>
      <c r="AC115" s="1">
        <v>0.17730000000000001</v>
      </c>
      <c r="AD115" s="1">
        <v>4.0880999999999998</v>
      </c>
      <c r="AE115" s="1">
        <v>5.0715000000000003</v>
      </c>
      <c r="AF115" s="1">
        <v>2.4584999999999999</v>
      </c>
    </row>
    <row r="116" spans="1:32" s="1" customFormat="1" ht="11.25" x14ac:dyDescent="0.2">
      <c r="A116" s="1">
        <v>102</v>
      </c>
      <c r="B116" s="1">
        <v>1</v>
      </c>
      <c r="C116" s="1">
        <v>24.9</v>
      </c>
      <c r="D116" s="1">
        <v>1</v>
      </c>
      <c r="E116" s="1">
        <v>2.0066999999999999</v>
      </c>
      <c r="F116" s="1">
        <v>0.77690000000000003</v>
      </c>
      <c r="G116" s="1">
        <v>0.4743</v>
      </c>
      <c r="H116" s="1">
        <v>-0.50009999999999999</v>
      </c>
      <c r="I116" s="1">
        <v>1.6999999999999999E-3</v>
      </c>
      <c r="J116" s="1">
        <v>3.3807999999999998</v>
      </c>
      <c r="K116" s="1">
        <v>3.7993999999999999</v>
      </c>
      <c r="L116" s="1">
        <v>2.0758000000000001</v>
      </c>
      <c r="M116" s="1">
        <v>-55.1</v>
      </c>
      <c r="N116" s="1">
        <v>1</v>
      </c>
      <c r="O116" s="1">
        <v>2.4268999999999998</v>
      </c>
      <c r="P116" s="1">
        <v>0.89370000000000005</v>
      </c>
      <c r="Q116" s="1">
        <v>0.56589999999999996</v>
      </c>
      <c r="R116" s="1">
        <v>-0.67159999999999997</v>
      </c>
      <c r="S116" s="1">
        <v>1.61E-2</v>
      </c>
      <c r="T116" s="1">
        <v>1.9419999999999999</v>
      </c>
      <c r="U116" s="1">
        <v>2.7073999999999998</v>
      </c>
      <c r="V116" s="1">
        <v>1.9060999999999999</v>
      </c>
      <c r="W116" s="1">
        <v>100.3</v>
      </c>
      <c r="X116" s="1">
        <v>1</v>
      </c>
      <c r="Y116" s="1">
        <v>1.5188999999999999</v>
      </c>
      <c r="AA116" s="1">
        <v>0.51049999999999995</v>
      </c>
      <c r="AB116" s="1">
        <v>-0.6139</v>
      </c>
      <c r="AC116" s="1">
        <v>0.1726</v>
      </c>
      <c r="AD116" s="1">
        <v>3.9697</v>
      </c>
      <c r="AE116" s="1">
        <v>4.9664999999999999</v>
      </c>
      <c r="AF116" s="1">
        <v>2.2481</v>
      </c>
    </row>
    <row r="117" spans="1:32" s="1" customFormat="1" ht="11.25" x14ac:dyDescent="0.2">
      <c r="A117" s="1">
        <v>103</v>
      </c>
      <c r="B117" s="1">
        <v>1</v>
      </c>
      <c r="C117" s="1">
        <v>25</v>
      </c>
      <c r="D117" s="1">
        <v>1</v>
      </c>
      <c r="E117" s="1">
        <v>1.9593</v>
      </c>
      <c r="F117" s="1">
        <v>0.77910000000000001</v>
      </c>
      <c r="G117" s="1">
        <v>0.4471</v>
      </c>
      <c r="H117" s="1">
        <v>-0.53500000000000003</v>
      </c>
      <c r="I117" s="1">
        <v>1.2999999999999999E-3</v>
      </c>
      <c r="J117" s="1">
        <v>3.4462999999999999</v>
      </c>
      <c r="K117" s="1">
        <v>3.8613</v>
      </c>
      <c r="L117" s="1">
        <v>2.1545999999999998</v>
      </c>
      <c r="M117" s="1">
        <v>-55.7</v>
      </c>
      <c r="N117" s="1">
        <v>1</v>
      </c>
      <c r="O117" s="1">
        <v>2.3746</v>
      </c>
      <c r="P117" s="1">
        <v>0.89890000000000003</v>
      </c>
      <c r="Q117" s="1">
        <v>0.52210000000000001</v>
      </c>
      <c r="R117" s="1">
        <v>-0.63790000000000002</v>
      </c>
      <c r="S117" s="1">
        <v>1.9199999999999998E-2</v>
      </c>
      <c r="T117" s="1">
        <v>1.9767999999999999</v>
      </c>
      <c r="U117" s="1">
        <v>2.7873999999999999</v>
      </c>
      <c r="V117" s="1">
        <v>1.9810000000000001</v>
      </c>
      <c r="W117" s="1">
        <v>100.4</v>
      </c>
      <c r="X117" s="1">
        <v>1</v>
      </c>
      <c r="Y117" s="1">
        <v>1.4609000000000001</v>
      </c>
      <c r="AA117" s="1">
        <v>0.62150000000000005</v>
      </c>
      <c r="AB117" s="1">
        <v>-0.69210000000000005</v>
      </c>
      <c r="AC117" s="1">
        <v>0.20369999999999999</v>
      </c>
      <c r="AD117" s="1">
        <v>4.1130000000000004</v>
      </c>
      <c r="AE117" s="1">
        <v>5.1093999999999999</v>
      </c>
      <c r="AF117" s="1">
        <v>2.3332999999999999</v>
      </c>
    </row>
    <row r="118" spans="1:32" s="1" customFormat="1" ht="11.25" x14ac:dyDescent="0.2">
      <c r="A118" s="1">
        <v>104</v>
      </c>
      <c r="B118" s="1">
        <v>1</v>
      </c>
      <c r="C118" s="1">
        <v>24.9</v>
      </c>
      <c r="D118" s="1">
        <v>1</v>
      </c>
      <c r="E118" s="1">
        <v>2.0811000000000002</v>
      </c>
      <c r="F118" s="1">
        <v>0.78129999999999999</v>
      </c>
      <c r="G118" s="1">
        <v>0.44579999999999997</v>
      </c>
      <c r="H118" s="1">
        <v>-0.53680000000000005</v>
      </c>
      <c r="I118" s="1">
        <v>1.4E-3</v>
      </c>
      <c r="J118" s="1">
        <v>3.4670999999999998</v>
      </c>
      <c r="K118" s="1">
        <v>3.9285999999999999</v>
      </c>
      <c r="L118" s="1">
        <v>1.9329000000000001</v>
      </c>
      <c r="M118" s="1">
        <v>-55.3</v>
      </c>
      <c r="N118" s="1">
        <v>1</v>
      </c>
      <c r="O118" s="1">
        <v>2.5320999999999998</v>
      </c>
      <c r="P118" s="1">
        <v>0.89800000000000002</v>
      </c>
      <c r="Q118" s="1">
        <v>0.51419999999999999</v>
      </c>
      <c r="R118" s="1">
        <v>-0.74070000000000003</v>
      </c>
      <c r="S118" s="1">
        <v>1.8599999999999998E-2</v>
      </c>
      <c r="T118" s="1">
        <v>1.9552</v>
      </c>
      <c r="U118" s="1">
        <v>2.7906</v>
      </c>
      <c r="V118" s="1">
        <v>1.7663</v>
      </c>
      <c r="W118" s="1">
        <v>100.7</v>
      </c>
      <c r="X118" s="1">
        <v>1</v>
      </c>
      <c r="Y118" s="1">
        <v>1.5629</v>
      </c>
      <c r="AA118" s="1">
        <v>0.59619999999999995</v>
      </c>
      <c r="AB118" s="1">
        <v>-0.67379999999999995</v>
      </c>
      <c r="AC118" s="1">
        <v>0.1837</v>
      </c>
      <c r="AD118" s="1">
        <v>3.9586999999999999</v>
      </c>
      <c r="AE118" s="1">
        <v>4.9897</v>
      </c>
      <c r="AF118" s="1">
        <v>2.1012</v>
      </c>
    </row>
    <row r="119" spans="1:32" s="1" customFormat="1" ht="11.25" x14ac:dyDescent="0.2">
      <c r="A119" s="1">
        <v>105</v>
      </c>
      <c r="B119" s="1">
        <v>1</v>
      </c>
      <c r="C119" s="1">
        <v>25</v>
      </c>
      <c r="D119" s="1">
        <v>1</v>
      </c>
      <c r="E119" s="1">
        <v>2.0083000000000002</v>
      </c>
      <c r="F119" s="1">
        <v>0.7772</v>
      </c>
      <c r="G119" s="1">
        <v>0.4728</v>
      </c>
      <c r="H119" s="1">
        <v>-0.51680000000000004</v>
      </c>
      <c r="I119" s="1">
        <v>1.6999999999999999E-3</v>
      </c>
      <c r="J119" s="1">
        <v>3.3738000000000001</v>
      </c>
      <c r="K119" s="1">
        <v>3.7627999999999999</v>
      </c>
      <c r="L119" s="1">
        <v>2.1377999999999999</v>
      </c>
      <c r="M119" s="1">
        <v>-55.3</v>
      </c>
      <c r="N119" s="1">
        <v>1</v>
      </c>
      <c r="O119" s="1">
        <v>2.4462999999999999</v>
      </c>
      <c r="P119" s="1">
        <v>0.89410000000000001</v>
      </c>
      <c r="Q119" s="1">
        <v>0.51980000000000004</v>
      </c>
      <c r="R119" s="1">
        <v>-0.69569999999999999</v>
      </c>
      <c r="S119" s="1">
        <v>1.9199999999999998E-2</v>
      </c>
      <c r="T119" s="1">
        <v>1.9058999999999999</v>
      </c>
      <c r="U119" s="1">
        <v>2.6804000000000001</v>
      </c>
      <c r="V119" s="1">
        <v>1.9656</v>
      </c>
      <c r="W119" s="1">
        <v>100.7</v>
      </c>
      <c r="X119" s="1">
        <v>1</v>
      </c>
      <c r="Y119" s="1">
        <v>1.5055000000000001</v>
      </c>
      <c r="AA119" s="1">
        <v>0.64649999999999996</v>
      </c>
      <c r="AB119" s="1">
        <v>-0.76080000000000003</v>
      </c>
      <c r="AC119" s="1">
        <v>0.18079999999999999</v>
      </c>
      <c r="AD119" s="1">
        <v>3.9988999999999999</v>
      </c>
      <c r="AE119" s="1">
        <v>4.95</v>
      </c>
      <c r="AF119" s="1">
        <v>2.3123</v>
      </c>
    </row>
    <row r="120" spans="1:32" s="1" customFormat="1" ht="11.25" x14ac:dyDescent="0.2">
      <c r="A120" s="1">
        <v>106</v>
      </c>
      <c r="B120" s="1">
        <v>1</v>
      </c>
      <c r="C120" s="1">
        <v>24.8</v>
      </c>
      <c r="D120" s="1">
        <v>1</v>
      </c>
      <c r="E120" s="1">
        <v>1.9966999999999999</v>
      </c>
      <c r="F120" s="1">
        <v>0.77700000000000002</v>
      </c>
      <c r="G120" s="1">
        <v>0.56610000000000005</v>
      </c>
      <c r="H120" s="1">
        <v>-0.61529999999999996</v>
      </c>
      <c r="I120" s="1">
        <v>1.6000000000000001E-3</v>
      </c>
      <c r="J120" s="1">
        <v>3.5121000000000002</v>
      </c>
      <c r="K120" s="1">
        <v>3.7881999999999998</v>
      </c>
      <c r="L120" s="1">
        <v>2.1404999999999998</v>
      </c>
      <c r="M120" s="1">
        <v>-55.2</v>
      </c>
      <c r="N120" s="1">
        <v>1</v>
      </c>
      <c r="O120" s="1">
        <v>2.4188000000000001</v>
      </c>
      <c r="P120" s="1">
        <v>0.89470000000000005</v>
      </c>
      <c r="Q120" s="1">
        <v>0.55349999999999999</v>
      </c>
      <c r="R120" s="1">
        <v>-0.66310000000000002</v>
      </c>
      <c r="S120" s="1">
        <v>2.06E-2</v>
      </c>
      <c r="T120" s="1">
        <v>1.9176</v>
      </c>
      <c r="U120" s="1">
        <v>2.7040000000000002</v>
      </c>
      <c r="V120" s="1">
        <v>1.9678</v>
      </c>
      <c r="W120" s="1">
        <v>100.5</v>
      </c>
      <c r="X120" s="1">
        <v>1</v>
      </c>
      <c r="Y120" s="1">
        <v>1.5058</v>
      </c>
      <c r="AA120" s="1">
        <v>0.59260000000000002</v>
      </c>
      <c r="AB120" s="1">
        <v>-0.72019999999999995</v>
      </c>
      <c r="AC120" s="1">
        <v>0.17219999999999999</v>
      </c>
      <c r="AD120" s="1">
        <v>3.9434999999999998</v>
      </c>
      <c r="AE120" s="1">
        <v>4.9520999999999997</v>
      </c>
      <c r="AF120" s="1">
        <v>2.3176000000000001</v>
      </c>
    </row>
    <row r="121" spans="1:32" s="1" customFormat="1" ht="11.25" x14ac:dyDescent="0.2">
      <c r="A121" s="1">
        <v>107</v>
      </c>
      <c r="B121" s="1">
        <v>1</v>
      </c>
      <c r="C121" s="1">
        <v>25</v>
      </c>
      <c r="D121" s="1">
        <v>1</v>
      </c>
      <c r="E121" s="1">
        <v>2.0920999999999998</v>
      </c>
      <c r="F121" s="1">
        <v>0.78239999999999998</v>
      </c>
      <c r="G121" s="1">
        <v>0.58089999999999997</v>
      </c>
      <c r="H121" s="1">
        <v>-0.66839999999999999</v>
      </c>
      <c r="I121" s="1">
        <v>1.6000000000000001E-3</v>
      </c>
      <c r="J121" s="1">
        <v>3.44</v>
      </c>
      <c r="K121" s="1">
        <v>3.8839000000000001</v>
      </c>
      <c r="L121" s="1">
        <v>1.9699</v>
      </c>
      <c r="M121" s="1">
        <v>-55.4</v>
      </c>
      <c r="N121" s="1">
        <v>1</v>
      </c>
      <c r="O121" s="1">
        <v>2.5510999999999999</v>
      </c>
      <c r="P121" s="1">
        <v>0.8992</v>
      </c>
      <c r="Q121" s="1">
        <v>0.64039999999999997</v>
      </c>
      <c r="R121" s="1">
        <v>-0.99199999999999999</v>
      </c>
      <c r="S121" s="1">
        <v>1.67E-2</v>
      </c>
      <c r="T121" s="1">
        <v>1.9528000000000001</v>
      </c>
      <c r="U121" s="1">
        <v>2.7698</v>
      </c>
      <c r="V121" s="1">
        <v>1.8043</v>
      </c>
      <c r="W121" s="1">
        <v>100.7</v>
      </c>
      <c r="X121" s="1">
        <v>1</v>
      </c>
      <c r="Y121" s="1">
        <v>1.5650999999999999</v>
      </c>
      <c r="AA121" s="1">
        <v>0.61240000000000006</v>
      </c>
      <c r="AB121" s="1">
        <v>-0.75139999999999996</v>
      </c>
      <c r="AC121" s="1">
        <v>0.17080000000000001</v>
      </c>
      <c r="AD121" s="1">
        <v>4.0091000000000001</v>
      </c>
      <c r="AE121" s="1">
        <v>5.0677000000000003</v>
      </c>
      <c r="AF121" s="1">
        <v>2.1404999999999998</v>
      </c>
    </row>
    <row r="122" spans="1:32" s="1" customFormat="1" ht="11.25" x14ac:dyDescent="0.2">
      <c r="A122" s="1">
        <v>108</v>
      </c>
      <c r="B122" s="1">
        <v>1</v>
      </c>
      <c r="C122" s="1">
        <v>25</v>
      </c>
      <c r="D122" s="1">
        <v>1</v>
      </c>
      <c r="E122" s="1">
        <v>2.0366</v>
      </c>
      <c r="F122" s="1">
        <v>0.77629999999999999</v>
      </c>
      <c r="G122" s="1">
        <v>0.4592</v>
      </c>
      <c r="H122" s="1">
        <v>-0.52170000000000005</v>
      </c>
      <c r="I122" s="1">
        <v>1.9E-3</v>
      </c>
      <c r="J122" s="1">
        <v>3.3919000000000001</v>
      </c>
      <c r="K122" s="1">
        <v>3.8208000000000002</v>
      </c>
      <c r="L122" s="1">
        <v>2.2557999999999998</v>
      </c>
      <c r="M122" s="1">
        <v>-55.2</v>
      </c>
      <c r="N122" s="1">
        <v>1</v>
      </c>
      <c r="O122" s="1">
        <v>2.4727000000000001</v>
      </c>
      <c r="P122" s="1">
        <v>0.89329999999999998</v>
      </c>
      <c r="Q122" s="1">
        <v>0.62429999999999997</v>
      </c>
      <c r="R122" s="1">
        <v>-1.1096999999999999</v>
      </c>
      <c r="S122" s="1">
        <v>1.5599999999999999E-2</v>
      </c>
      <c r="T122" s="1">
        <v>1.9132</v>
      </c>
      <c r="U122" s="1">
        <v>2.7101999999999999</v>
      </c>
      <c r="V122" s="1">
        <v>2.0804</v>
      </c>
      <c r="W122" s="1">
        <v>100.4</v>
      </c>
      <c r="X122" s="1">
        <v>1</v>
      </c>
      <c r="Y122" s="1">
        <v>1.5376000000000001</v>
      </c>
      <c r="AA122" s="1">
        <v>0.52559999999999996</v>
      </c>
      <c r="AB122" s="1">
        <v>-0.66990000000000005</v>
      </c>
      <c r="AC122" s="1">
        <v>0.16020000000000001</v>
      </c>
      <c r="AD122" s="1">
        <v>4.0011999999999999</v>
      </c>
      <c r="AE122" s="1">
        <v>5.0206999999999997</v>
      </c>
      <c r="AF122" s="1">
        <v>2.4350999999999998</v>
      </c>
    </row>
    <row r="123" spans="1:32" s="1" customFormat="1" ht="11.25" x14ac:dyDescent="0.2">
      <c r="A123" s="1">
        <v>109</v>
      </c>
      <c r="B123" s="1">
        <v>1</v>
      </c>
      <c r="C123" s="1">
        <v>24.8</v>
      </c>
      <c r="D123" s="1">
        <v>1</v>
      </c>
      <c r="E123" s="1">
        <v>2.0129999999999999</v>
      </c>
      <c r="F123" s="1">
        <v>0.78129999999999999</v>
      </c>
      <c r="G123" s="1">
        <v>0.47249999999999998</v>
      </c>
      <c r="H123" s="1">
        <v>-0.61329999999999996</v>
      </c>
      <c r="I123" s="1">
        <v>1.1000000000000001E-3</v>
      </c>
      <c r="J123" s="1">
        <v>3.3195999999999999</v>
      </c>
      <c r="K123" s="1">
        <v>4.0522999999999998</v>
      </c>
      <c r="L123" s="1">
        <v>1.8987000000000001</v>
      </c>
      <c r="M123" s="1">
        <v>-55.2</v>
      </c>
      <c r="N123" s="1">
        <v>1</v>
      </c>
      <c r="O123" s="1">
        <v>2.4037999999999999</v>
      </c>
      <c r="P123" s="1">
        <v>0.89570000000000005</v>
      </c>
      <c r="Q123" s="1">
        <v>0.6885</v>
      </c>
      <c r="R123" s="1">
        <v>-0.99039999999999995</v>
      </c>
      <c r="S123" s="1">
        <v>1.2200000000000001E-2</v>
      </c>
      <c r="T123" s="1">
        <v>1.9276</v>
      </c>
      <c r="U123" s="1">
        <v>2.9933000000000001</v>
      </c>
      <c r="V123" s="1">
        <v>1.7406999999999999</v>
      </c>
      <c r="W123" s="1">
        <v>100.3</v>
      </c>
      <c r="X123" s="1">
        <v>1</v>
      </c>
      <c r="Y123" s="1">
        <v>1.569</v>
      </c>
      <c r="AA123" s="1">
        <v>0.5121</v>
      </c>
      <c r="AB123" s="1">
        <v>-0.67479999999999996</v>
      </c>
      <c r="AC123" s="1">
        <v>0.14319999999999999</v>
      </c>
      <c r="AD123" s="1">
        <v>3.9094000000000002</v>
      </c>
      <c r="AE123" s="1">
        <v>5.1256000000000004</v>
      </c>
      <c r="AF123" s="1">
        <v>2.0606</v>
      </c>
    </row>
    <row r="124" spans="1:32" s="1" customFormat="1" ht="11.25" x14ac:dyDescent="0.2">
      <c r="A124" s="1">
        <v>110</v>
      </c>
      <c r="B124" s="1">
        <v>1</v>
      </c>
      <c r="C124" s="1">
        <v>25</v>
      </c>
      <c r="D124" s="1">
        <v>1</v>
      </c>
      <c r="E124" s="1">
        <v>2.0846</v>
      </c>
      <c r="F124" s="1">
        <v>0.78280000000000005</v>
      </c>
      <c r="G124" s="1">
        <v>0.48749999999999999</v>
      </c>
      <c r="H124" s="1">
        <v>-0.62670000000000003</v>
      </c>
      <c r="I124" s="1">
        <v>1.5E-3</v>
      </c>
      <c r="J124" s="1">
        <v>3.3885000000000001</v>
      </c>
      <c r="K124" s="1">
        <v>3.8948999999999998</v>
      </c>
      <c r="L124" s="1">
        <v>1.9938</v>
      </c>
      <c r="M124" s="1">
        <v>-55.2</v>
      </c>
      <c r="N124" s="1">
        <v>1</v>
      </c>
      <c r="O124" s="1">
        <v>2.5192999999999999</v>
      </c>
      <c r="P124" s="1">
        <v>0.89810000000000001</v>
      </c>
      <c r="Q124" s="1">
        <v>0.90500000000000003</v>
      </c>
      <c r="R124" s="1">
        <v>-1.7748999999999999</v>
      </c>
      <c r="S124" s="1">
        <v>1.4999999999999999E-2</v>
      </c>
      <c r="T124" s="1">
        <v>1.9554</v>
      </c>
      <c r="U124" s="1">
        <v>2.8107000000000002</v>
      </c>
      <c r="V124" s="1">
        <v>1.8303</v>
      </c>
      <c r="W124" s="1">
        <v>101.2</v>
      </c>
      <c r="X124" s="1">
        <v>1</v>
      </c>
      <c r="Y124" s="1">
        <v>1.5795999999999999</v>
      </c>
      <c r="AA124" s="1">
        <v>0.54020000000000001</v>
      </c>
      <c r="AB124" s="1">
        <v>-0.71919999999999995</v>
      </c>
      <c r="AC124" s="1">
        <v>0.15340000000000001</v>
      </c>
      <c r="AD124" s="1">
        <v>3.9897999999999998</v>
      </c>
      <c r="AE124" s="1">
        <v>5.0313999999999997</v>
      </c>
      <c r="AF124" s="1">
        <v>2.1629999999999998</v>
      </c>
    </row>
    <row r="125" spans="1:32" s="1" customFormat="1" ht="11.25" x14ac:dyDescent="0.2">
      <c r="A125" s="1">
        <v>111</v>
      </c>
      <c r="B125" s="1">
        <v>1</v>
      </c>
      <c r="C125" s="1">
        <v>25</v>
      </c>
      <c r="D125" s="1">
        <v>1</v>
      </c>
      <c r="E125" s="1">
        <v>2.0478999999999998</v>
      </c>
      <c r="F125" s="1">
        <v>0.78959999999999997</v>
      </c>
      <c r="G125" s="1">
        <v>0.45860000000000001</v>
      </c>
      <c r="H125" s="1">
        <v>-0.61419999999999997</v>
      </c>
      <c r="I125" s="1">
        <v>1.1999999999999999E-3</v>
      </c>
      <c r="J125" s="1">
        <v>3.3092000000000001</v>
      </c>
      <c r="K125" s="1">
        <v>4.4382000000000001</v>
      </c>
      <c r="L125" s="1">
        <v>1.7023999999999999</v>
      </c>
      <c r="M125" s="1">
        <v>-55.2</v>
      </c>
      <c r="N125" s="1">
        <v>1</v>
      </c>
      <c r="O125" s="1">
        <v>2.4621</v>
      </c>
      <c r="P125" s="1">
        <v>0.90410000000000001</v>
      </c>
      <c r="Q125" s="1">
        <v>0.5554</v>
      </c>
      <c r="R125" s="1">
        <v>-0.68189999999999995</v>
      </c>
      <c r="S125" s="1">
        <v>1.84E-2</v>
      </c>
      <c r="T125" s="1">
        <v>1.9274</v>
      </c>
      <c r="U125" s="1">
        <v>3.2480000000000002</v>
      </c>
      <c r="V125" s="1">
        <v>1.5475000000000001</v>
      </c>
      <c r="W125" s="1">
        <v>100.4</v>
      </c>
      <c r="X125" s="1">
        <v>1</v>
      </c>
      <c r="Y125" s="1">
        <v>1.5711999999999999</v>
      </c>
      <c r="AA125" s="1">
        <v>0.52690000000000003</v>
      </c>
      <c r="AB125" s="1">
        <v>-0.61529999999999996</v>
      </c>
      <c r="AC125" s="1">
        <v>0.1615</v>
      </c>
      <c r="AD125" s="1">
        <v>3.9235000000000002</v>
      </c>
      <c r="AE125" s="1">
        <v>5.6957000000000004</v>
      </c>
      <c r="AF125" s="1">
        <v>1.8617999999999999</v>
      </c>
    </row>
    <row r="126" spans="1:32" s="1" customFormat="1" ht="11.25" x14ac:dyDescent="0.2">
      <c r="A126" s="1">
        <v>112</v>
      </c>
      <c r="B126" s="1">
        <v>1</v>
      </c>
      <c r="C126" s="1">
        <v>25</v>
      </c>
      <c r="D126" s="1">
        <v>1</v>
      </c>
      <c r="E126" s="1">
        <v>2.0316000000000001</v>
      </c>
      <c r="F126" s="1">
        <v>0.78239999999999998</v>
      </c>
      <c r="G126" s="1">
        <v>0.44850000000000001</v>
      </c>
      <c r="H126" s="1">
        <v>-0.55669999999999997</v>
      </c>
      <c r="I126" s="1">
        <v>1.6999999999999999E-3</v>
      </c>
      <c r="J126" s="1">
        <v>3.2942999999999998</v>
      </c>
      <c r="K126" s="1">
        <v>3.7793999999999999</v>
      </c>
      <c r="L126" s="1">
        <v>1.8513999999999999</v>
      </c>
      <c r="M126" s="1">
        <v>-55.3</v>
      </c>
      <c r="N126" s="1">
        <v>1</v>
      </c>
      <c r="O126" s="1">
        <v>2.4464000000000001</v>
      </c>
      <c r="P126" s="1">
        <v>0.89759999999999995</v>
      </c>
      <c r="Q126" s="1">
        <v>0.64170000000000005</v>
      </c>
      <c r="R126" s="1">
        <v>-1.0402</v>
      </c>
      <c r="S126" s="1">
        <v>1.2200000000000001E-2</v>
      </c>
      <c r="T126" s="1">
        <v>1.9157</v>
      </c>
      <c r="U126" s="1">
        <v>2.7364999999999999</v>
      </c>
      <c r="V126" s="1">
        <v>1.7025999999999999</v>
      </c>
      <c r="W126" s="1">
        <v>100.6</v>
      </c>
      <c r="X126" s="1">
        <v>1</v>
      </c>
      <c r="Y126" s="1">
        <v>1.5512999999999999</v>
      </c>
      <c r="AA126" s="1">
        <v>0.55649999999999999</v>
      </c>
      <c r="AB126" s="1">
        <v>-0.62080000000000002</v>
      </c>
      <c r="AC126" s="1">
        <v>0.15379999999999999</v>
      </c>
      <c r="AD126" s="1">
        <v>3.8881000000000001</v>
      </c>
      <c r="AE126" s="1">
        <v>4.9077000000000002</v>
      </c>
      <c r="AF126" s="1">
        <v>2.0284</v>
      </c>
    </row>
    <row r="127" spans="1:32" s="1" customFormat="1" ht="11.25" x14ac:dyDescent="0.2">
      <c r="A127" s="1">
        <v>113</v>
      </c>
      <c r="B127" s="1">
        <v>1</v>
      </c>
      <c r="C127" s="1">
        <v>24.9</v>
      </c>
      <c r="D127" s="1">
        <v>1</v>
      </c>
      <c r="E127" s="1">
        <v>1.9803999999999999</v>
      </c>
      <c r="F127" s="1">
        <v>0.77939999999999998</v>
      </c>
      <c r="G127" s="1">
        <v>0.4466</v>
      </c>
      <c r="H127" s="1">
        <v>-0.51690000000000003</v>
      </c>
      <c r="I127" s="1">
        <v>1.4E-3</v>
      </c>
      <c r="J127" s="1">
        <v>3.3828</v>
      </c>
      <c r="K127" s="1">
        <v>3.8696000000000002</v>
      </c>
      <c r="L127" s="1">
        <v>2.06</v>
      </c>
      <c r="M127" s="1">
        <v>-55.2</v>
      </c>
      <c r="N127" s="1">
        <v>1</v>
      </c>
      <c r="O127" s="1">
        <v>2.3767</v>
      </c>
      <c r="P127" s="1">
        <v>0.89539999999999997</v>
      </c>
      <c r="Q127" s="1">
        <v>0.77649999999999997</v>
      </c>
      <c r="R127" s="1">
        <v>-2.5070999999999999</v>
      </c>
      <c r="S127" s="1">
        <v>1.41E-2</v>
      </c>
      <c r="T127" s="1">
        <v>1.948</v>
      </c>
      <c r="U127" s="1">
        <v>2.8081999999999998</v>
      </c>
      <c r="V127" s="1">
        <v>1.8925000000000001</v>
      </c>
      <c r="W127" s="1">
        <v>100.1</v>
      </c>
      <c r="X127" s="1">
        <v>1</v>
      </c>
      <c r="Y127" s="1">
        <v>1.5218</v>
      </c>
      <c r="AA127" s="1">
        <v>0.4945</v>
      </c>
      <c r="AB127" s="1">
        <v>-0.58740000000000003</v>
      </c>
      <c r="AC127" s="1">
        <v>0.1429</v>
      </c>
      <c r="AD127" s="1">
        <v>4.0069999999999997</v>
      </c>
      <c r="AE127" s="1">
        <v>5.0324</v>
      </c>
      <c r="AF127" s="1">
        <v>2.2292000000000001</v>
      </c>
    </row>
    <row r="128" spans="1:32" s="1" customFormat="1" ht="11.25" x14ac:dyDescent="0.2">
      <c r="A128" s="1">
        <v>114</v>
      </c>
      <c r="B128" s="1">
        <v>1</v>
      </c>
      <c r="C128" s="1">
        <v>25</v>
      </c>
      <c r="D128" s="1">
        <v>1</v>
      </c>
      <c r="E128" s="1">
        <v>2.0148000000000001</v>
      </c>
      <c r="F128" s="1">
        <v>0.78210000000000002</v>
      </c>
      <c r="G128" s="1">
        <v>0.4506</v>
      </c>
      <c r="H128" s="1">
        <v>-0.55459999999999998</v>
      </c>
      <c r="I128" s="1">
        <v>1.6000000000000001E-3</v>
      </c>
      <c r="J128" s="1">
        <v>3.3910999999999998</v>
      </c>
      <c r="K128" s="1">
        <v>3.9136000000000002</v>
      </c>
      <c r="L128" s="1">
        <v>1.903</v>
      </c>
      <c r="M128" s="1">
        <v>-55</v>
      </c>
      <c r="N128" s="1">
        <v>1</v>
      </c>
      <c r="O128" s="1">
        <v>2.4171</v>
      </c>
      <c r="P128" s="1">
        <v>0.89639999999999997</v>
      </c>
      <c r="Q128" s="1">
        <v>0.75129999999999997</v>
      </c>
      <c r="R128" s="1">
        <v>-2.6844000000000001</v>
      </c>
      <c r="S128" s="1">
        <v>1.7600000000000001E-2</v>
      </c>
      <c r="T128" s="1">
        <v>1.9751000000000001</v>
      </c>
      <c r="U128" s="1">
        <v>2.871</v>
      </c>
      <c r="V128" s="1">
        <v>1.7456</v>
      </c>
      <c r="W128" s="1">
        <v>100.3</v>
      </c>
      <c r="X128" s="1">
        <v>1</v>
      </c>
      <c r="Y128" s="1">
        <v>1.5546</v>
      </c>
      <c r="AA128" s="1">
        <v>0.54</v>
      </c>
      <c r="AB128" s="1">
        <v>-0.61380000000000001</v>
      </c>
      <c r="AC128" s="1">
        <v>0.14979999999999999</v>
      </c>
      <c r="AD128" s="1">
        <v>3.9727000000000001</v>
      </c>
      <c r="AE128" s="1">
        <v>5.0324999999999998</v>
      </c>
      <c r="AF128" s="1">
        <v>2.0642999999999998</v>
      </c>
    </row>
    <row r="129" spans="1:32" s="1" customFormat="1" ht="11.25" x14ac:dyDescent="0.2">
      <c r="A129" s="1">
        <v>115</v>
      </c>
      <c r="B129" s="1">
        <v>1</v>
      </c>
      <c r="C129" s="1">
        <v>24.8</v>
      </c>
      <c r="D129" s="1">
        <v>1</v>
      </c>
      <c r="E129" s="1">
        <v>1.9519</v>
      </c>
      <c r="F129" s="1">
        <v>0.77769999999999995</v>
      </c>
      <c r="G129" s="1">
        <v>0.51019999999999999</v>
      </c>
      <c r="H129" s="1">
        <v>-0.52969999999999995</v>
      </c>
      <c r="I129" s="1">
        <v>1.8E-3</v>
      </c>
      <c r="J129" s="1">
        <v>3.4216000000000002</v>
      </c>
      <c r="K129" s="1">
        <v>3.8191999999999999</v>
      </c>
      <c r="L129" s="1">
        <v>2.1507999999999998</v>
      </c>
      <c r="M129" s="1">
        <v>-55.2</v>
      </c>
      <c r="N129" s="1">
        <v>1</v>
      </c>
      <c r="O129" s="1">
        <v>2.3641999999999999</v>
      </c>
      <c r="P129" s="1">
        <v>0.89349999999999996</v>
      </c>
      <c r="Q129" s="1">
        <v>0.70950000000000002</v>
      </c>
      <c r="R129" s="1">
        <v>-2.0377000000000001</v>
      </c>
      <c r="S129" s="1">
        <v>1.2999999999999999E-2</v>
      </c>
      <c r="T129" s="1">
        <v>1.9484999999999999</v>
      </c>
      <c r="U129" s="1">
        <v>2.6977000000000002</v>
      </c>
      <c r="V129" s="1">
        <v>1.9830000000000001</v>
      </c>
      <c r="W129" s="1">
        <v>100.5</v>
      </c>
      <c r="X129" s="1">
        <v>1</v>
      </c>
      <c r="Y129" s="1">
        <v>1.4689000000000001</v>
      </c>
      <c r="AA129" s="1">
        <v>0.59960000000000002</v>
      </c>
      <c r="AB129" s="1">
        <v>-0.66259999999999997</v>
      </c>
      <c r="AC129" s="1">
        <v>0.1608</v>
      </c>
      <c r="AD129" s="1">
        <v>4.0391000000000004</v>
      </c>
      <c r="AE129" s="1">
        <v>4.9661999999999997</v>
      </c>
      <c r="AF129" s="1">
        <v>2.3267000000000002</v>
      </c>
    </row>
    <row r="130" spans="1:32" s="1" customFormat="1" ht="11.25" x14ac:dyDescent="0.2">
      <c r="A130" s="1">
        <v>116</v>
      </c>
      <c r="B130" s="1">
        <v>1</v>
      </c>
      <c r="C130" s="1">
        <v>24.9</v>
      </c>
      <c r="D130" s="1">
        <v>1</v>
      </c>
      <c r="E130" s="1">
        <v>1.9751000000000001</v>
      </c>
      <c r="F130" s="1">
        <v>0.77869999999999995</v>
      </c>
      <c r="G130" s="1">
        <v>0.48330000000000001</v>
      </c>
      <c r="H130" s="1">
        <v>-0.61580000000000001</v>
      </c>
      <c r="I130" s="1">
        <v>1.2999999999999999E-3</v>
      </c>
      <c r="J130" s="1">
        <v>3.371</v>
      </c>
      <c r="K130" s="1">
        <v>3.8018000000000001</v>
      </c>
      <c r="L130" s="1">
        <v>1.9571000000000001</v>
      </c>
      <c r="M130" s="1">
        <v>-55</v>
      </c>
      <c r="N130" s="1">
        <v>1</v>
      </c>
      <c r="O130" s="1">
        <v>2.3816000000000002</v>
      </c>
      <c r="P130" s="1">
        <v>0.89439999999999997</v>
      </c>
      <c r="Q130" s="1">
        <v>0.7994</v>
      </c>
      <c r="R130" s="1">
        <v>-1.5881000000000001</v>
      </c>
      <c r="S130" s="1">
        <v>1.47E-2</v>
      </c>
      <c r="T130" s="1">
        <v>1.9722999999999999</v>
      </c>
      <c r="U130" s="1">
        <v>2.7201</v>
      </c>
      <c r="V130" s="1">
        <v>1.7963</v>
      </c>
      <c r="W130" s="1">
        <v>100.3</v>
      </c>
      <c r="X130" s="1">
        <v>1</v>
      </c>
      <c r="Y130" s="1">
        <v>1.5067999999999999</v>
      </c>
      <c r="AA130" s="1">
        <v>0.47189999999999999</v>
      </c>
      <c r="AB130" s="1">
        <v>-0.63729999999999998</v>
      </c>
      <c r="AC130" s="1">
        <v>0.15290000000000001</v>
      </c>
      <c r="AD130" s="1">
        <v>3.9422999999999999</v>
      </c>
      <c r="AE130" s="1">
        <v>4.9203000000000001</v>
      </c>
      <c r="AF130" s="1">
        <v>2.1215999999999999</v>
      </c>
    </row>
    <row r="131" spans="1:32" s="1" customFormat="1" ht="11.25" x14ac:dyDescent="0.2">
      <c r="A131" s="1">
        <v>117</v>
      </c>
      <c r="B131" s="1">
        <v>1</v>
      </c>
      <c r="C131" s="1">
        <v>25</v>
      </c>
      <c r="D131" s="1">
        <v>1</v>
      </c>
      <c r="E131" s="1">
        <v>1.9974000000000001</v>
      </c>
      <c r="F131" s="1">
        <v>0.77749999999999997</v>
      </c>
      <c r="G131" s="1">
        <v>0.54749999999999999</v>
      </c>
      <c r="H131" s="1">
        <v>-0.5978</v>
      </c>
      <c r="I131" s="1">
        <v>1.6000000000000001E-3</v>
      </c>
      <c r="J131" s="1">
        <v>3.4028999999999998</v>
      </c>
      <c r="K131" s="1">
        <v>3.7965</v>
      </c>
      <c r="L131" s="1">
        <v>2.0869</v>
      </c>
      <c r="M131" s="1">
        <v>-55.1</v>
      </c>
      <c r="N131" s="1">
        <v>1</v>
      </c>
      <c r="O131" s="1">
        <v>2.4037999999999999</v>
      </c>
      <c r="P131" s="1">
        <v>0.89380000000000004</v>
      </c>
      <c r="Q131" s="1">
        <v>0.8306</v>
      </c>
      <c r="R131" s="1">
        <v>-1.8567</v>
      </c>
      <c r="S131" s="1">
        <v>1.23E-2</v>
      </c>
      <c r="T131" s="1">
        <v>1.9621</v>
      </c>
      <c r="U131" s="1">
        <v>2.7237</v>
      </c>
      <c r="V131" s="1">
        <v>1.9215</v>
      </c>
      <c r="W131" s="1">
        <v>100.7</v>
      </c>
      <c r="X131" s="1">
        <v>1</v>
      </c>
      <c r="Y131" s="1">
        <v>1.5273000000000001</v>
      </c>
      <c r="AA131" s="1">
        <v>0.62290000000000001</v>
      </c>
      <c r="AB131" s="1">
        <v>-0.64849999999999997</v>
      </c>
      <c r="AC131" s="1">
        <v>0.15509999999999999</v>
      </c>
      <c r="AD131" s="1">
        <v>3.952</v>
      </c>
      <c r="AE131" s="1">
        <v>4.9554999999999998</v>
      </c>
      <c r="AF131" s="1">
        <v>2.2568999999999999</v>
      </c>
    </row>
    <row r="132" spans="1:32" s="1" customFormat="1" ht="11.25" x14ac:dyDescent="0.2">
      <c r="A132" s="1">
        <v>118</v>
      </c>
      <c r="B132" s="1">
        <v>1</v>
      </c>
      <c r="C132" s="1">
        <v>25</v>
      </c>
      <c r="D132" s="1">
        <v>1</v>
      </c>
      <c r="E132" s="1">
        <v>2.0066999999999999</v>
      </c>
      <c r="F132" s="1">
        <v>0.78320000000000001</v>
      </c>
      <c r="G132" s="1">
        <v>0.50380000000000003</v>
      </c>
      <c r="H132" s="1">
        <v>-0.52010000000000001</v>
      </c>
      <c r="I132" s="1">
        <v>1.5E-3</v>
      </c>
      <c r="J132" s="1">
        <v>3.4367000000000001</v>
      </c>
      <c r="K132" s="1">
        <v>3.8637000000000001</v>
      </c>
      <c r="L132" s="1">
        <v>1.8331</v>
      </c>
      <c r="M132" s="1">
        <v>-55.2</v>
      </c>
      <c r="N132" s="1">
        <v>1</v>
      </c>
      <c r="O132" s="1">
        <v>2.4144999999999999</v>
      </c>
      <c r="P132" s="1">
        <v>0.89870000000000005</v>
      </c>
      <c r="Q132" s="1">
        <v>0.65080000000000005</v>
      </c>
      <c r="R132" s="1">
        <v>-0.72389999999999999</v>
      </c>
      <c r="S132" s="1">
        <v>1.66E-2</v>
      </c>
      <c r="T132" s="1">
        <v>1.9233</v>
      </c>
      <c r="U132" s="1">
        <v>2.8056000000000001</v>
      </c>
      <c r="V132" s="1">
        <v>1.6662999999999999</v>
      </c>
      <c r="W132" s="1">
        <v>100.1</v>
      </c>
      <c r="X132" s="1">
        <v>1</v>
      </c>
      <c r="Y132" s="1">
        <v>1.5330999999999999</v>
      </c>
      <c r="AA132" s="1">
        <v>0.62370000000000003</v>
      </c>
      <c r="AB132" s="1">
        <v>-0.65229999999999999</v>
      </c>
      <c r="AC132" s="1">
        <v>0.15679999999999999</v>
      </c>
      <c r="AD132" s="1">
        <v>3.9184999999999999</v>
      </c>
      <c r="AE132" s="1">
        <v>4.9757999999999996</v>
      </c>
      <c r="AF132" s="1">
        <v>1.9983</v>
      </c>
    </row>
    <row r="133" spans="1:32" s="1" customFormat="1" ht="11.25" x14ac:dyDescent="0.2">
      <c r="A133" s="1">
        <v>119</v>
      </c>
      <c r="B133" s="1">
        <v>1</v>
      </c>
      <c r="C133" s="1">
        <v>25</v>
      </c>
      <c r="D133" s="1">
        <v>1</v>
      </c>
      <c r="E133" s="1">
        <v>2.0339999999999998</v>
      </c>
      <c r="F133" s="1">
        <v>0.77880000000000005</v>
      </c>
      <c r="G133" s="1">
        <v>0.46800000000000003</v>
      </c>
      <c r="H133" s="1">
        <v>-0.52290000000000003</v>
      </c>
      <c r="I133" s="1">
        <v>1.4E-3</v>
      </c>
      <c r="J133" s="1">
        <v>3.3189000000000002</v>
      </c>
      <c r="K133" s="1">
        <v>3.7723</v>
      </c>
      <c r="L133" s="1">
        <v>2.0842999999999998</v>
      </c>
      <c r="M133" s="1">
        <v>-55.3</v>
      </c>
      <c r="N133" s="1">
        <v>1</v>
      </c>
      <c r="O133" s="1">
        <v>2.4761000000000002</v>
      </c>
      <c r="P133" s="1">
        <v>0.89549999999999996</v>
      </c>
      <c r="Q133" s="1">
        <v>0.48180000000000001</v>
      </c>
      <c r="R133" s="1">
        <v>-0.76149999999999995</v>
      </c>
      <c r="S133" s="1">
        <v>1.9199999999999998E-2</v>
      </c>
      <c r="T133" s="1">
        <v>1.9035</v>
      </c>
      <c r="U133" s="1">
        <v>2.6783999999999999</v>
      </c>
      <c r="V133" s="1">
        <v>1.9135</v>
      </c>
      <c r="W133" s="1">
        <v>100.2</v>
      </c>
      <c r="X133" s="1">
        <v>1</v>
      </c>
      <c r="Y133" s="1">
        <v>1.5299</v>
      </c>
      <c r="AA133" s="1">
        <v>0.57389999999999997</v>
      </c>
      <c r="AB133" s="1">
        <v>-0.75509999999999999</v>
      </c>
      <c r="AC133" s="1">
        <v>0.1676</v>
      </c>
      <c r="AD133" s="1">
        <v>3.9296000000000002</v>
      </c>
      <c r="AE133" s="1">
        <v>4.8982999999999999</v>
      </c>
      <c r="AF133" s="1">
        <v>2.2572999999999999</v>
      </c>
    </row>
    <row r="134" spans="1:32" s="1" customFormat="1" ht="11.25" x14ac:dyDescent="0.2">
      <c r="A134" s="1">
        <v>120</v>
      </c>
      <c r="B134" s="1">
        <v>1</v>
      </c>
      <c r="C134" s="1">
        <v>25</v>
      </c>
      <c r="D134" s="1">
        <v>1</v>
      </c>
      <c r="E134" s="1">
        <v>1.9756</v>
      </c>
      <c r="F134" s="1">
        <v>0.78110000000000002</v>
      </c>
      <c r="G134" s="1">
        <v>0.50249999999999995</v>
      </c>
      <c r="H134" s="1">
        <v>-0.51519999999999999</v>
      </c>
      <c r="I134" s="1">
        <v>1.8E-3</v>
      </c>
      <c r="J134" s="1">
        <v>3.4264000000000001</v>
      </c>
      <c r="K134" s="1">
        <v>3.9546999999999999</v>
      </c>
      <c r="L134" s="1">
        <v>2.08</v>
      </c>
      <c r="M134" s="1">
        <v>-55.4</v>
      </c>
      <c r="N134" s="1">
        <v>1</v>
      </c>
      <c r="O134" s="1">
        <v>2.3711000000000002</v>
      </c>
      <c r="P134" s="1">
        <v>0.89690000000000003</v>
      </c>
      <c r="Q134" s="1">
        <v>0.74860000000000004</v>
      </c>
      <c r="R134" s="1">
        <v>-2.9397000000000002</v>
      </c>
      <c r="S134" s="1">
        <v>1.49E-2</v>
      </c>
      <c r="T134" s="1">
        <v>1.9547000000000001</v>
      </c>
      <c r="U134" s="1">
        <v>2.9045000000000001</v>
      </c>
      <c r="V134" s="1">
        <v>1.9123000000000001</v>
      </c>
      <c r="W134" s="1">
        <v>100.7</v>
      </c>
      <c r="X134" s="1">
        <v>1</v>
      </c>
      <c r="Y134" s="1">
        <v>1.5215000000000001</v>
      </c>
      <c r="AA134" s="1">
        <v>0.5071</v>
      </c>
      <c r="AB134" s="1">
        <v>-0.6512</v>
      </c>
      <c r="AC134" s="1">
        <v>0.15409999999999999</v>
      </c>
      <c r="AD134" s="1">
        <v>4.0153999999999996</v>
      </c>
      <c r="AE134" s="1">
        <v>5.1031000000000004</v>
      </c>
      <c r="AF134" s="1">
        <v>2.2496999999999998</v>
      </c>
    </row>
    <row r="135" spans="1:32" s="1" customFormat="1" ht="11.25" x14ac:dyDescent="0.2">
      <c r="A135" s="1">
        <v>121</v>
      </c>
      <c r="B135" s="1">
        <v>1</v>
      </c>
      <c r="C135" s="1">
        <v>24.9</v>
      </c>
      <c r="D135" s="1">
        <v>1</v>
      </c>
      <c r="E135" s="1">
        <v>2.0394999999999999</v>
      </c>
      <c r="F135" s="1">
        <v>0.78120000000000001</v>
      </c>
      <c r="G135" s="1">
        <v>0.56979999999999997</v>
      </c>
      <c r="H135" s="1">
        <v>-0.58079999999999998</v>
      </c>
      <c r="I135" s="1">
        <v>1.4E-3</v>
      </c>
      <c r="J135" s="1">
        <v>3.3411</v>
      </c>
      <c r="K135" s="1">
        <v>3.7974000000000001</v>
      </c>
      <c r="L135" s="1">
        <v>1.8757999999999999</v>
      </c>
      <c r="M135" s="1">
        <v>-55.5</v>
      </c>
      <c r="N135" s="1">
        <v>1</v>
      </c>
      <c r="O135" s="1">
        <v>2.4546000000000001</v>
      </c>
      <c r="P135" s="1">
        <v>0.89839999999999998</v>
      </c>
      <c r="Q135" s="1">
        <v>0.629</v>
      </c>
      <c r="R135" s="1">
        <v>-0.72289999999999999</v>
      </c>
      <c r="S135" s="1">
        <v>1.95E-2</v>
      </c>
      <c r="T135" s="1">
        <v>1.8894</v>
      </c>
      <c r="U135" s="1">
        <v>2.7397</v>
      </c>
      <c r="V135" s="1">
        <v>1.7115</v>
      </c>
      <c r="W135" s="1">
        <v>100.4</v>
      </c>
      <c r="X135" s="1">
        <v>1</v>
      </c>
      <c r="Y135" s="1">
        <v>1.5497000000000001</v>
      </c>
      <c r="AA135" s="1">
        <v>0.53359999999999996</v>
      </c>
      <c r="AB135" s="1">
        <v>-0.72060000000000002</v>
      </c>
      <c r="AC135" s="1">
        <v>0.1701</v>
      </c>
      <c r="AD135" s="1">
        <v>3.8950999999999998</v>
      </c>
      <c r="AE135" s="1">
        <v>4.9687999999999999</v>
      </c>
      <c r="AF135" s="1">
        <v>2.0392999999999999</v>
      </c>
    </row>
    <row r="136" spans="1:32" s="1" customFormat="1" ht="11.25" x14ac:dyDescent="0.2">
      <c r="A136" s="1">
        <v>122</v>
      </c>
      <c r="B136" s="1">
        <v>1</v>
      </c>
      <c r="C136" s="1">
        <v>25.1</v>
      </c>
      <c r="D136" s="1">
        <v>1</v>
      </c>
      <c r="E136" s="1">
        <v>2.0411999999999999</v>
      </c>
      <c r="F136" s="1">
        <v>0.78310000000000002</v>
      </c>
      <c r="G136" s="1">
        <v>0.43930000000000002</v>
      </c>
      <c r="H136" s="1">
        <v>-0.61219999999999997</v>
      </c>
      <c r="I136" s="1">
        <v>1.4E-3</v>
      </c>
      <c r="J136" s="1">
        <v>3.4392</v>
      </c>
      <c r="K136" s="1">
        <v>3.9140000000000001</v>
      </c>
      <c r="L136" s="1">
        <v>1.8973</v>
      </c>
      <c r="M136" s="1">
        <v>-55.2</v>
      </c>
      <c r="N136" s="1">
        <v>1</v>
      </c>
      <c r="O136" s="1">
        <v>2.4540000000000002</v>
      </c>
      <c r="P136" s="1">
        <v>0.89929999999999999</v>
      </c>
      <c r="Q136" s="1">
        <v>0.71030000000000004</v>
      </c>
      <c r="R136" s="1">
        <v>-0.7893</v>
      </c>
      <c r="S136" s="1">
        <v>1.6500000000000001E-2</v>
      </c>
      <c r="T136" s="1">
        <v>1.931</v>
      </c>
      <c r="U136" s="1">
        <v>2.8401000000000001</v>
      </c>
      <c r="V136" s="1">
        <v>1.7343</v>
      </c>
      <c r="W136" s="1">
        <v>100.7</v>
      </c>
      <c r="X136" s="1">
        <v>1</v>
      </c>
      <c r="Y136" s="1">
        <v>1.5551999999999999</v>
      </c>
      <c r="AA136" s="1">
        <v>0.59199999999999997</v>
      </c>
      <c r="AB136" s="1">
        <v>-0.73850000000000005</v>
      </c>
      <c r="AC136" s="1">
        <v>0.17219999999999999</v>
      </c>
      <c r="AD136" s="1">
        <v>3.9952999999999999</v>
      </c>
      <c r="AE136" s="1">
        <v>5.0727000000000002</v>
      </c>
      <c r="AF136" s="1">
        <v>2.0629</v>
      </c>
    </row>
    <row r="137" spans="1:32" s="1" customFormat="1" ht="11.25" x14ac:dyDescent="0.2">
      <c r="A137" s="1">
        <v>123</v>
      </c>
      <c r="B137" s="1">
        <v>1</v>
      </c>
      <c r="C137" s="1">
        <v>24.9</v>
      </c>
      <c r="D137" s="1">
        <v>1</v>
      </c>
      <c r="E137" s="1">
        <v>1.9495</v>
      </c>
      <c r="F137" s="1">
        <v>0.77480000000000004</v>
      </c>
      <c r="G137" s="1">
        <v>0.54559999999999997</v>
      </c>
      <c r="H137" s="1">
        <v>-0.65349999999999997</v>
      </c>
      <c r="I137" s="1">
        <v>1.5E-3</v>
      </c>
      <c r="J137" s="1">
        <v>3.4399000000000002</v>
      </c>
      <c r="K137" s="1">
        <v>3.8001</v>
      </c>
      <c r="L137" s="1">
        <v>2.3271999999999999</v>
      </c>
      <c r="M137" s="1">
        <v>-55.5</v>
      </c>
      <c r="N137" s="1">
        <v>1</v>
      </c>
      <c r="O137" s="1">
        <v>2.3561000000000001</v>
      </c>
      <c r="P137" s="1">
        <v>0.89029999999999998</v>
      </c>
      <c r="Q137" s="1">
        <v>1.1004</v>
      </c>
      <c r="R137" s="1">
        <v>-2.8995000000000002</v>
      </c>
      <c r="S137" s="1">
        <v>1.61E-2</v>
      </c>
      <c r="T137" s="1">
        <v>1.9547000000000001</v>
      </c>
      <c r="U137" s="1">
        <v>2.7065000000000001</v>
      </c>
      <c r="V137" s="1">
        <v>2.1553</v>
      </c>
      <c r="W137" s="1">
        <v>101</v>
      </c>
      <c r="X137" s="1">
        <v>1</v>
      </c>
      <c r="Y137" s="1">
        <v>1.4894000000000001</v>
      </c>
      <c r="AA137" s="1">
        <v>0.62890000000000001</v>
      </c>
      <c r="AB137" s="1">
        <v>-0.71909999999999996</v>
      </c>
      <c r="AC137" s="1">
        <v>0.12959999999999999</v>
      </c>
      <c r="AD137" s="1">
        <v>4.0075000000000003</v>
      </c>
      <c r="AE137" s="1">
        <v>4.9870000000000001</v>
      </c>
      <c r="AF137" s="1">
        <v>2.5004</v>
      </c>
    </row>
    <row r="138" spans="1:32" s="1" customFormat="1" ht="11.25" x14ac:dyDescent="0.2">
      <c r="A138" s="1">
        <v>124</v>
      </c>
      <c r="B138" s="1">
        <v>1</v>
      </c>
      <c r="C138" s="1">
        <v>25</v>
      </c>
      <c r="D138" s="1">
        <v>1</v>
      </c>
      <c r="E138" s="1">
        <v>2.0535000000000001</v>
      </c>
      <c r="F138" s="1">
        <v>0.77739999999999998</v>
      </c>
      <c r="G138" s="1">
        <v>0.46200000000000002</v>
      </c>
      <c r="H138" s="1">
        <v>-0.53490000000000004</v>
      </c>
      <c r="I138" s="1">
        <v>1.6999999999999999E-3</v>
      </c>
      <c r="J138" s="1">
        <v>3.3243</v>
      </c>
      <c r="K138" s="1">
        <v>3.73</v>
      </c>
      <c r="L138" s="1">
        <v>2.0836999999999999</v>
      </c>
      <c r="M138" s="1">
        <v>-55.3</v>
      </c>
      <c r="N138" s="1">
        <v>1</v>
      </c>
      <c r="O138" s="1">
        <v>2.4956</v>
      </c>
      <c r="P138" s="1">
        <v>0.89539999999999997</v>
      </c>
      <c r="Q138" s="1">
        <v>0.63029999999999997</v>
      </c>
      <c r="R138" s="1">
        <v>-1.1758</v>
      </c>
      <c r="S138" s="1">
        <v>1.35E-2</v>
      </c>
      <c r="T138" s="1">
        <v>1.8653999999999999</v>
      </c>
      <c r="U138" s="1">
        <v>2.6598999999999999</v>
      </c>
      <c r="V138" s="1">
        <v>1.9142999999999999</v>
      </c>
      <c r="W138" s="1">
        <v>100.7</v>
      </c>
      <c r="X138" s="1">
        <v>1</v>
      </c>
      <c r="Y138" s="1">
        <v>1.5468999999999999</v>
      </c>
      <c r="AA138" s="1">
        <v>0.53339999999999999</v>
      </c>
      <c r="AB138" s="1">
        <v>-0.66149999999999998</v>
      </c>
      <c r="AC138" s="1">
        <v>0.1749</v>
      </c>
      <c r="AD138" s="1">
        <v>3.9342000000000001</v>
      </c>
      <c r="AE138" s="1">
        <v>4.9471999999999996</v>
      </c>
      <c r="AF138" s="1">
        <v>2.2574999999999998</v>
      </c>
    </row>
    <row r="139" spans="1:32" s="1" customFormat="1" ht="11.25" x14ac:dyDescent="0.2">
      <c r="A139" s="1">
        <v>125</v>
      </c>
      <c r="B139" s="1">
        <v>1</v>
      </c>
      <c r="C139" s="1">
        <v>25</v>
      </c>
      <c r="D139" s="1">
        <v>1</v>
      </c>
      <c r="E139" s="1">
        <v>2.1701000000000001</v>
      </c>
      <c r="F139" s="1">
        <v>0.78259999999999996</v>
      </c>
      <c r="G139" s="1">
        <v>0.54469999999999996</v>
      </c>
      <c r="H139" s="1">
        <v>-0.65910000000000002</v>
      </c>
      <c r="I139" s="1">
        <v>1.5E-3</v>
      </c>
      <c r="J139" s="1">
        <v>3.3883000000000001</v>
      </c>
      <c r="K139" s="1">
        <v>3.8578999999999999</v>
      </c>
      <c r="L139" s="1">
        <v>1.9812000000000001</v>
      </c>
      <c r="M139" s="1">
        <v>-55.1</v>
      </c>
      <c r="N139" s="1">
        <v>1</v>
      </c>
      <c r="O139" s="1">
        <v>2.6446000000000001</v>
      </c>
      <c r="P139" s="1">
        <v>0.89949999999999997</v>
      </c>
      <c r="Q139" s="1">
        <v>0.56499999999999995</v>
      </c>
      <c r="R139" s="1">
        <v>-0.73780000000000001</v>
      </c>
      <c r="S139" s="1">
        <v>1.9699999999999999E-2</v>
      </c>
      <c r="T139" s="1">
        <v>1.8664000000000001</v>
      </c>
      <c r="U139" s="1">
        <v>2.7641</v>
      </c>
      <c r="V139" s="1">
        <v>1.8159000000000001</v>
      </c>
      <c r="W139" s="1">
        <v>100.5</v>
      </c>
      <c r="X139" s="1">
        <v>1</v>
      </c>
      <c r="Y139" s="1">
        <v>1.6181000000000001</v>
      </c>
      <c r="AA139" s="1">
        <v>0.63749999999999996</v>
      </c>
      <c r="AB139" s="1">
        <v>-0.67710000000000004</v>
      </c>
      <c r="AC139" s="1">
        <v>0.16739999999999999</v>
      </c>
      <c r="AD139" s="1">
        <v>3.9628000000000001</v>
      </c>
      <c r="AE139" s="1">
        <v>5.0579000000000001</v>
      </c>
      <c r="AF139" s="1">
        <v>2.1539000000000001</v>
      </c>
    </row>
    <row r="140" spans="1:32" s="1" customFormat="1" ht="11.25" x14ac:dyDescent="0.2">
      <c r="A140" s="1">
        <v>126</v>
      </c>
      <c r="B140" s="1">
        <v>1</v>
      </c>
      <c r="C140" s="1">
        <v>25.1</v>
      </c>
      <c r="D140" s="1">
        <v>1</v>
      </c>
      <c r="E140" s="1">
        <v>1.9272</v>
      </c>
      <c r="F140" s="1">
        <v>0.77559999999999996</v>
      </c>
      <c r="G140" s="1">
        <v>0.42820000000000003</v>
      </c>
      <c r="H140" s="1">
        <v>-0.53810000000000002</v>
      </c>
      <c r="I140" s="1">
        <v>1.5E-3</v>
      </c>
      <c r="J140" s="1">
        <v>3.3898999999999999</v>
      </c>
      <c r="K140" s="1">
        <v>3.7484000000000002</v>
      </c>
      <c r="L140" s="1">
        <v>2.2734000000000001</v>
      </c>
      <c r="M140" s="1">
        <v>-54.7</v>
      </c>
      <c r="N140" s="1">
        <v>1</v>
      </c>
      <c r="O140" s="1">
        <v>2.3412000000000002</v>
      </c>
      <c r="P140" s="1">
        <v>0.89219999999999999</v>
      </c>
      <c r="Q140" s="1">
        <v>3.4542999999999999</v>
      </c>
      <c r="R140" s="1">
        <v>-20.648800000000001</v>
      </c>
      <c r="S140" s="1">
        <v>9.7999999999999997E-3</v>
      </c>
      <c r="T140" s="1">
        <v>1.9044000000000001</v>
      </c>
      <c r="U140" s="1">
        <v>2.6608000000000001</v>
      </c>
      <c r="V140" s="1">
        <v>2.1044</v>
      </c>
      <c r="W140" s="1">
        <v>100.1</v>
      </c>
      <c r="X140" s="1">
        <v>1</v>
      </c>
      <c r="Y140" s="1">
        <v>1.4521999999999999</v>
      </c>
      <c r="AA140" s="1">
        <v>0.55120000000000002</v>
      </c>
      <c r="AB140" s="1">
        <v>-0.64770000000000005</v>
      </c>
      <c r="AC140" s="1">
        <v>0.1578</v>
      </c>
      <c r="AD140" s="1">
        <v>4.0034000000000001</v>
      </c>
      <c r="AE140" s="1">
        <v>4.9432999999999998</v>
      </c>
      <c r="AF140" s="1">
        <v>2.4489999999999998</v>
      </c>
    </row>
    <row r="141" spans="1:32" s="1" customFormat="1" ht="11.25" x14ac:dyDescent="0.2">
      <c r="A141" s="1">
        <v>127</v>
      </c>
      <c r="B141" s="1">
        <v>1</v>
      </c>
      <c r="C141" s="1">
        <v>25</v>
      </c>
      <c r="D141" s="1">
        <v>1</v>
      </c>
      <c r="E141" s="1">
        <v>2.0316000000000001</v>
      </c>
      <c r="F141" s="1">
        <v>0.77600000000000002</v>
      </c>
      <c r="G141" s="1">
        <v>0.43280000000000002</v>
      </c>
      <c r="H141" s="1">
        <v>-0.50680000000000003</v>
      </c>
      <c r="I141" s="1">
        <v>1.5E-3</v>
      </c>
      <c r="J141" s="1">
        <v>3.3860999999999999</v>
      </c>
      <c r="K141" s="1">
        <v>3.8165</v>
      </c>
      <c r="L141" s="1">
        <v>2.2366000000000001</v>
      </c>
      <c r="M141" s="1">
        <v>-55.4</v>
      </c>
      <c r="N141" s="1">
        <v>1</v>
      </c>
      <c r="O141" s="1">
        <v>2.4611000000000001</v>
      </c>
      <c r="P141" s="1">
        <v>0.89259999999999995</v>
      </c>
      <c r="Q141" s="1">
        <v>1.0426</v>
      </c>
      <c r="R141" s="1">
        <v>-4.2449000000000003</v>
      </c>
      <c r="S141" s="1">
        <v>1.04E-2</v>
      </c>
      <c r="T141" s="1">
        <v>1.9454</v>
      </c>
      <c r="U141" s="1">
        <v>2.7231999999999998</v>
      </c>
      <c r="V141" s="1">
        <v>2.0642</v>
      </c>
      <c r="W141" s="1">
        <v>100.2</v>
      </c>
      <c r="X141" s="1">
        <v>1</v>
      </c>
      <c r="Y141" s="1">
        <v>1.5424</v>
      </c>
      <c r="AA141" s="1">
        <v>0.49280000000000002</v>
      </c>
      <c r="AB141" s="1">
        <v>-0.58179999999999998</v>
      </c>
      <c r="AC141" s="1">
        <v>0.1555</v>
      </c>
      <c r="AD141" s="1">
        <v>4.0057</v>
      </c>
      <c r="AE141" s="1">
        <v>4.9726999999999997</v>
      </c>
      <c r="AF141" s="1">
        <v>2.4129</v>
      </c>
    </row>
    <row r="142" spans="1:32" s="1" customFormat="1" ht="11.25" x14ac:dyDescent="0.2">
      <c r="A142" s="1">
        <v>128</v>
      </c>
      <c r="B142" s="1">
        <v>1</v>
      </c>
      <c r="C142" s="1">
        <v>25</v>
      </c>
      <c r="D142" s="1">
        <v>1</v>
      </c>
      <c r="E142" s="1">
        <v>2.0175000000000001</v>
      </c>
      <c r="F142" s="1">
        <v>0.77539999999999998</v>
      </c>
      <c r="G142" s="1">
        <v>0.43609999999999999</v>
      </c>
      <c r="H142" s="1">
        <v>-0.52280000000000004</v>
      </c>
      <c r="I142" s="1">
        <v>1.4E-3</v>
      </c>
      <c r="J142" s="1">
        <v>3.3734000000000002</v>
      </c>
      <c r="K142" s="1">
        <v>3.8138999999999998</v>
      </c>
      <c r="L142" s="1">
        <v>2.2410999999999999</v>
      </c>
      <c r="M142" s="1">
        <v>-55.3</v>
      </c>
      <c r="N142" s="1">
        <v>1</v>
      </c>
      <c r="O142" s="1">
        <v>2.4394999999999998</v>
      </c>
      <c r="P142" s="1">
        <v>0.89329999999999998</v>
      </c>
      <c r="Q142" s="1">
        <v>0.86370000000000002</v>
      </c>
      <c r="R142" s="1">
        <v>-5.1291000000000002</v>
      </c>
      <c r="S142" s="1">
        <v>1.2699999999999999E-2</v>
      </c>
      <c r="T142" s="1">
        <v>1.956</v>
      </c>
      <c r="U142" s="1">
        <v>2.7252999999999998</v>
      </c>
      <c r="V142" s="1">
        <v>2.0686</v>
      </c>
      <c r="W142" s="1">
        <v>100.6</v>
      </c>
      <c r="X142" s="1">
        <v>1</v>
      </c>
      <c r="Y142" s="1">
        <v>1.5279</v>
      </c>
      <c r="AA142" s="1">
        <v>0.54730000000000001</v>
      </c>
      <c r="AB142" s="1">
        <v>-0.59940000000000004</v>
      </c>
      <c r="AC142" s="1">
        <v>0.16539999999999999</v>
      </c>
      <c r="AD142" s="1">
        <v>3.9702999999999999</v>
      </c>
      <c r="AE142" s="1">
        <v>4.9785000000000004</v>
      </c>
      <c r="AF142" s="1">
        <v>2.4188000000000001</v>
      </c>
    </row>
    <row r="143" spans="1:32" s="1" customFormat="1" ht="11.25" x14ac:dyDescent="0.2">
      <c r="A143" s="1">
        <v>130</v>
      </c>
      <c r="B143" s="1">
        <v>1</v>
      </c>
      <c r="C143" s="1">
        <v>25.1</v>
      </c>
      <c r="D143" s="1">
        <v>1</v>
      </c>
      <c r="E143" s="1">
        <v>2.0646</v>
      </c>
      <c r="F143" s="1">
        <v>0.78259999999999996</v>
      </c>
      <c r="G143" s="1">
        <v>0.4829</v>
      </c>
      <c r="H143" s="1">
        <v>-0.51790000000000003</v>
      </c>
      <c r="I143" s="1">
        <v>1.5E-3</v>
      </c>
      <c r="J143" s="1">
        <v>3.5750999999999999</v>
      </c>
      <c r="K143" s="1">
        <v>4.0096999999999996</v>
      </c>
      <c r="L143" s="1">
        <v>1.966</v>
      </c>
      <c r="M143" s="1">
        <v>-55</v>
      </c>
      <c r="N143" s="1">
        <v>1</v>
      </c>
      <c r="O143" s="1">
        <v>2.5063</v>
      </c>
      <c r="P143" s="1">
        <v>0.89780000000000004</v>
      </c>
      <c r="Q143" s="1">
        <v>0.89459999999999995</v>
      </c>
      <c r="R143" s="1">
        <v>-2.9982000000000002</v>
      </c>
      <c r="S143" s="1">
        <v>1.3299999999999999E-2</v>
      </c>
      <c r="T143" s="1">
        <v>2.1059000000000001</v>
      </c>
      <c r="U143" s="1">
        <v>2.9293</v>
      </c>
      <c r="V143" s="1">
        <v>1.7870999999999999</v>
      </c>
      <c r="W143" s="1">
        <v>100.3</v>
      </c>
      <c r="X143" s="1">
        <v>1</v>
      </c>
      <c r="Y143" s="1">
        <v>1.5565</v>
      </c>
      <c r="AA143" s="1">
        <v>0.61950000000000005</v>
      </c>
      <c r="AB143" s="1">
        <v>-0.75790000000000002</v>
      </c>
      <c r="AC143" s="1">
        <v>0.16320000000000001</v>
      </c>
      <c r="AD143" s="1">
        <v>4.1825000000000001</v>
      </c>
      <c r="AE143" s="1">
        <v>5.2289000000000003</v>
      </c>
      <c r="AF143" s="1">
        <v>2.0185</v>
      </c>
    </row>
    <row r="144" spans="1:32" s="1" customFormat="1" ht="11.25" x14ac:dyDescent="0.2">
      <c r="A144" s="1">
        <v>131</v>
      </c>
      <c r="B144" s="1">
        <v>1</v>
      </c>
      <c r="C144" s="1">
        <v>25</v>
      </c>
      <c r="D144" s="1">
        <v>1</v>
      </c>
      <c r="E144" s="1">
        <v>1.9903999999999999</v>
      </c>
      <c r="F144" s="1">
        <v>0.77680000000000005</v>
      </c>
      <c r="G144" s="1">
        <v>0.43180000000000002</v>
      </c>
      <c r="H144" s="1">
        <v>-0.56230000000000002</v>
      </c>
      <c r="I144" s="1">
        <v>1.5E-3</v>
      </c>
      <c r="J144" s="1">
        <v>3.4144000000000001</v>
      </c>
      <c r="K144" s="1">
        <v>3.8014999999999999</v>
      </c>
      <c r="L144" s="1">
        <v>2.2035</v>
      </c>
      <c r="M144" s="1">
        <v>-55.1</v>
      </c>
      <c r="N144" s="1">
        <v>1</v>
      </c>
      <c r="O144" s="1">
        <v>2.4047999999999998</v>
      </c>
      <c r="P144" s="1">
        <v>0.89380000000000004</v>
      </c>
      <c r="Q144" s="1">
        <v>1.8096000000000001</v>
      </c>
      <c r="R144" s="1">
        <v>-10.766500000000001</v>
      </c>
      <c r="S144" s="1">
        <v>1.0500000000000001E-2</v>
      </c>
      <c r="T144" s="1">
        <v>1.9421999999999999</v>
      </c>
      <c r="U144" s="1">
        <v>2.7267000000000001</v>
      </c>
      <c r="V144" s="1">
        <v>2.0284</v>
      </c>
      <c r="W144" s="1">
        <v>100.6</v>
      </c>
      <c r="X144" s="1">
        <v>1</v>
      </c>
      <c r="Y144" s="1">
        <v>1.5055000000000001</v>
      </c>
      <c r="AA144" s="1">
        <v>0.62380000000000002</v>
      </c>
      <c r="AB144" s="1">
        <v>-0.73429999999999995</v>
      </c>
      <c r="AC144" s="1">
        <v>0.1646</v>
      </c>
      <c r="AD144" s="1">
        <v>3.9925000000000002</v>
      </c>
      <c r="AE144" s="1">
        <v>5.0049999999999999</v>
      </c>
      <c r="AF144" s="1">
        <v>2.3769</v>
      </c>
    </row>
    <row r="145" spans="1:32" s="1" customFormat="1" ht="11.25" x14ac:dyDescent="0.2">
      <c r="A145" s="1">
        <v>132</v>
      </c>
      <c r="B145" s="1">
        <v>1</v>
      </c>
      <c r="C145" s="1">
        <v>25</v>
      </c>
      <c r="D145" s="1">
        <v>1</v>
      </c>
      <c r="E145" s="1">
        <v>2.2086999999999999</v>
      </c>
      <c r="F145" s="1">
        <v>0.78800000000000003</v>
      </c>
      <c r="G145" s="1">
        <v>0.42730000000000001</v>
      </c>
      <c r="H145" s="1">
        <v>-0.53029999999999999</v>
      </c>
      <c r="I145" s="1">
        <v>1.5E-3</v>
      </c>
      <c r="J145" s="1">
        <v>3.4285999999999999</v>
      </c>
      <c r="K145" s="1">
        <v>4.0278999999999998</v>
      </c>
      <c r="L145" s="1">
        <v>1.7612000000000001</v>
      </c>
      <c r="M145" s="1">
        <v>-55.1</v>
      </c>
      <c r="N145" s="1">
        <v>1</v>
      </c>
      <c r="O145" s="1">
        <v>2.6745999999999999</v>
      </c>
      <c r="P145" s="1">
        <v>0.90169999999999995</v>
      </c>
      <c r="Q145" s="1">
        <v>0.74039999999999995</v>
      </c>
      <c r="R145" s="1">
        <v>-4.7969999999999997</v>
      </c>
      <c r="S145" s="1">
        <v>1.21E-2</v>
      </c>
      <c r="T145" s="1">
        <v>2.1150000000000002</v>
      </c>
      <c r="U145" s="1">
        <v>3.0392000000000001</v>
      </c>
      <c r="V145" s="1">
        <v>1.6085</v>
      </c>
      <c r="W145" s="1">
        <v>100.4</v>
      </c>
      <c r="X145" s="1">
        <v>1</v>
      </c>
      <c r="Y145" s="1">
        <v>1.6755</v>
      </c>
      <c r="AA145" s="1">
        <v>0.60470000000000002</v>
      </c>
      <c r="AB145" s="1">
        <v>-0.70309999999999995</v>
      </c>
      <c r="AC145" s="1">
        <v>0.15229999999999999</v>
      </c>
      <c r="AD145" s="1">
        <v>3.9626999999999999</v>
      </c>
      <c r="AE145" s="1">
        <v>5.1359000000000004</v>
      </c>
      <c r="AF145" s="1">
        <v>1.9189000000000001</v>
      </c>
    </row>
    <row r="146" spans="1:32" s="1" customFormat="1" ht="11.25" x14ac:dyDescent="0.2">
      <c r="A146" s="1">
        <v>133</v>
      </c>
      <c r="B146" s="1">
        <v>1</v>
      </c>
      <c r="C146" s="1">
        <v>24.8</v>
      </c>
      <c r="D146" s="1">
        <v>1</v>
      </c>
      <c r="E146" s="1">
        <v>2.0358000000000001</v>
      </c>
      <c r="F146" s="1">
        <v>0.77700000000000002</v>
      </c>
      <c r="G146" s="1">
        <v>0.44590000000000002</v>
      </c>
      <c r="H146" s="1">
        <v>-0.55179999999999996</v>
      </c>
      <c r="I146" s="1">
        <v>1.4E-3</v>
      </c>
      <c r="J146" s="1">
        <v>3.4203999999999999</v>
      </c>
      <c r="K146" s="1">
        <v>3.8512</v>
      </c>
      <c r="L146" s="1">
        <v>2.2161</v>
      </c>
      <c r="M146" s="1">
        <v>-55.2</v>
      </c>
      <c r="N146" s="1">
        <v>1</v>
      </c>
      <c r="O146" s="1">
        <v>2.4447999999999999</v>
      </c>
      <c r="P146" s="1">
        <v>0.89290000000000003</v>
      </c>
      <c r="Q146" s="1">
        <v>0.78469999999999995</v>
      </c>
      <c r="R146" s="1">
        <v>-4.3238000000000003</v>
      </c>
      <c r="S146" s="1">
        <v>1.3899999999999999E-2</v>
      </c>
      <c r="T146" s="1">
        <v>1.9278</v>
      </c>
      <c r="U146" s="1">
        <v>2.7706</v>
      </c>
      <c r="V146" s="1">
        <v>2.0466000000000002</v>
      </c>
      <c r="W146" s="1">
        <v>100.5</v>
      </c>
      <c r="X146" s="1">
        <v>1</v>
      </c>
      <c r="Y146" s="1">
        <v>1.5581</v>
      </c>
      <c r="AA146" s="1">
        <v>0.50439999999999996</v>
      </c>
      <c r="AB146" s="1">
        <v>-0.67349999999999999</v>
      </c>
      <c r="AC146" s="1">
        <v>0.14230000000000001</v>
      </c>
      <c r="AD146" s="1">
        <v>3.9529999999999998</v>
      </c>
      <c r="AE146" s="1">
        <v>5.0003000000000002</v>
      </c>
      <c r="AF146" s="1">
        <v>2.3925999999999998</v>
      </c>
    </row>
    <row r="147" spans="1:32" s="1" customFormat="1" ht="11.25" x14ac:dyDescent="0.2">
      <c r="A147" s="1">
        <v>134</v>
      </c>
      <c r="B147" s="1">
        <v>1</v>
      </c>
      <c r="C147" s="1">
        <v>25.1</v>
      </c>
      <c r="D147" s="1">
        <v>1</v>
      </c>
      <c r="E147" s="1">
        <v>2.0575000000000001</v>
      </c>
      <c r="F147" s="1">
        <v>0.78029999999999999</v>
      </c>
      <c r="G147" s="1">
        <v>0.4899</v>
      </c>
      <c r="H147" s="1">
        <v>-0.51649999999999996</v>
      </c>
      <c r="I147" s="1">
        <v>1.6999999999999999E-3</v>
      </c>
      <c r="J147" s="1">
        <v>3.2793999999999999</v>
      </c>
      <c r="K147" s="1">
        <v>3.7467000000000001</v>
      </c>
      <c r="L147" s="1">
        <v>2.0209999999999999</v>
      </c>
      <c r="M147" s="1">
        <v>-55.5</v>
      </c>
      <c r="N147" s="1">
        <v>1</v>
      </c>
      <c r="O147" s="1">
        <v>2.4940000000000002</v>
      </c>
      <c r="P147" s="1">
        <v>0.89680000000000004</v>
      </c>
      <c r="Q147" s="1">
        <v>0.77010000000000001</v>
      </c>
      <c r="R147" s="1">
        <v>-1.9678</v>
      </c>
      <c r="S147" s="1">
        <v>1.2E-2</v>
      </c>
      <c r="T147" s="1">
        <v>1.8784000000000001</v>
      </c>
      <c r="U147" s="1">
        <v>2.6772999999999998</v>
      </c>
      <c r="V147" s="1">
        <v>1.8552</v>
      </c>
      <c r="W147" s="1">
        <v>100.8</v>
      </c>
      <c r="X147" s="1">
        <v>1</v>
      </c>
      <c r="Y147" s="1">
        <v>1.5507</v>
      </c>
      <c r="AA147" s="1">
        <v>0.62329999999999997</v>
      </c>
      <c r="AB147" s="1">
        <v>-0.72470000000000001</v>
      </c>
      <c r="AC147" s="1">
        <v>0.16089999999999999</v>
      </c>
      <c r="AD147" s="1">
        <v>3.9198</v>
      </c>
      <c r="AE147" s="1">
        <v>4.9469000000000003</v>
      </c>
      <c r="AF147" s="1">
        <v>2.1899000000000002</v>
      </c>
    </row>
    <row r="148" spans="1:32" s="1" customFormat="1" ht="11.25" x14ac:dyDescent="0.2">
      <c r="A148" s="1">
        <v>135</v>
      </c>
      <c r="B148" s="1">
        <v>1</v>
      </c>
      <c r="C148" s="1">
        <v>25</v>
      </c>
      <c r="D148" s="1">
        <v>1</v>
      </c>
      <c r="E148" s="1">
        <v>2.0672000000000001</v>
      </c>
      <c r="F148" s="1">
        <v>0.77890000000000004</v>
      </c>
      <c r="G148" s="1">
        <v>0.45450000000000002</v>
      </c>
      <c r="H148" s="1">
        <v>-0.52669999999999995</v>
      </c>
      <c r="I148" s="1">
        <v>1.5E-3</v>
      </c>
      <c r="J148" s="1">
        <v>3.2997999999999998</v>
      </c>
      <c r="K148" s="1">
        <v>3.7349000000000001</v>
      </c>
      <c r="L148" s="1">
        <v>1.9617</v>
      </c>
      <c r="M148" s="1">
        <v>-55.2</v>
      </c>
      <c r="N148" s="1">
        <v>1</v>
      </c>
      <c r="O148" s="1">
        <v>2.5032999999999999</v>
      </c>
      <c r="P148" s="1">
        <v>0.89690000000000003</v>
      </c>
      <c r="Q148" s="1">
        <v>0.66059999999999997</v>
      </c>
      <c r="R148" s="1">
        <v>-0.75880000000000003</v>
      </c>
      <c r="S148" s="1">
        <v>1.6500000000000001E-2</v>
      </c>
      <c r="T148" s="1">
        <v>1.8398000000000001</v>
      </c>
      <c r="U148" s="1">
        <v>2.6558000000000002</v>
      </c>
      <c r="V148" s="1">
        <v>1.7935000000000001</v>
      </c>
      <c r="W148" s="1">
        <v>100.7</v>
      </c>
      <c r="X148" s="1">
        <v>1</v>
      </c>
      <c r="Y148" s="1">
        <v>1.5542</v>
      </c>
      <c r="AA148" s="1">
        <v>0.63539999999999996</v>
      </c>
      <c r="AB148" s="1">
        <v>-0.753</v>
      </c>
      <c r="AC148" s="1">
        <v>0.18920000000000001</v>
      </c>
      <c r="AD148" s="1">
        <v>3.9188999999999998</v>
      </c>
      <c r="AE148" s="1">
        <v>4.9195000000000002</v>
      </c>
      <c r="AF148" s="1">
        <v>2.1309999999999998</v>
      </c>
    </row>
    <row r="149" spans="1:32" s="1" customFormat="1" ht="11.25" x14ac:dyDescent="0.2">
      <c r="A149" s="1">
        <v>136</v>
      </c>
      <c r="B149" s="1">
        <v>1</v>
      </c>
      <c r="C149" s="1">
        <v>25.1</v>
      </c>
      <c r="D149" s="1">
        <v>1</v>
      </c>
      <c r="E149" s="1">
        <v>1.9965999999999999</v>
      </c>
      <c r="F149" s="1">
        <v>0.77769999999999995</v>
      </c>
      <c r="G149" s="1">
        <v>0.56040000000000001</v>
      </c>
      <c r="H149" s="1">
        <v>-0.60219999999999996</v>
      </c>
      <c r="I149" s="1">
        <v>1.8E-3</v>
      </c>
      <c r="J149" s="1">
        <v>3.4239999999999999</v>
      </c>
      <c r="K149" s="1">
        <v>3.7932000000000001</v>
      </c>
      <c r="L149" s="1">
        <v>2.1335999999999999</v>
      </c>
      <c r="M149" s="1">
        <v>-55.4</v>
      </c>
      <c r="N149" s="1">
        <v>1</v>
      </c>
      <c r="O149" s="1">
        <v>2.4131999999999998</v>
      </c>
      <c r="P149" s="1">
        <v>0.8952</v>
      </c>
      <c r="Q149" s="1">
        <v>1.0266</v>
      </c>
      <c r="R149" s="1">
        <v>-3.8327</v>
      </c>
      <c r="S149" s="1">
        <v>1.4500000000000001E-2</v>
      </c>
      <c r="T149" s="1">
        <v>1.9512</v>
      </c>
      <c r="U149" s="1">
        <v>2.7450000000000001</v>
      </c>
      <c r="V149" s="1">
        <v>1.9635</v>
      </c>
      <c r="W149" s="1">
        <v>100.4</v>
      </c>
      <c r="X149" s="1">
        <v>1</v>
      </c>
      <c r="Y149" s="1">
        <v>1.5084</v>
      </c>
      <c r="AA149" s="1">
        <v>0.62480000000000002</v>
      </c>
      <c r="AB149" s="1">
        <v>-0.66139999999999999</v>
      </c>
      <c r="AC149" s="1">
        <v>0.17380000000000001</v>
      </c>
      <c r="AD149" s="1">
        <v>3.9897999999999998</v>
      </c>
      <c r="AE149" s="1">
        <v>4.9775999999999998</v>
      </c>
      <c r="AF149" s="1">
        <v>2.3108</v>
      </c>
    </row>
    <row r="150" spans="1:32" s="1" customFormat="1" ht="11.25" x14ac:dyDescent="0.2">
      <c r="A150" s="1">
        <v>137</v>
      </c>
      <c r="B150" s="1">
        <v>1</v>
      </c>
      <c r="C150" s="1">
        <v>25</v>
      </c>
      <c r="D150" s="1">
        <v>1</v>
      </c>
      <c r="E150" s="1">
        <v>1.9845999999999999</v>
      </c>
      <c r="F150" s="1">
        <v>0.77629999999999999</v>
      </c>
      <c r="G150" s="1">
        <v>0.43690000000000001</v>
      </c>
      <c r="H150" s="1">
        <v>-0.49719999999999998</v>
      </c>
      <c r="I150" s="1">
        <v>1.6999999999999999E-3</v>
      </c>
      <c r="J150" s="1">
        <v>3.4214000000000002</v>
      </c>
      <c r="K150" s="1">
        <v>3.7812999999999999</v>
      </c>
      <c r="L150" s="1">
        <v>2.1772999999999998</v>
      </c>
      <c r="M150" s="1">
        <v>-55.1</v>
      </c>
      <c r="N150" s="1">
        <v>1</v>
      </c>
      <c r="O150" s="1">
        <v>2.4089999999999998</v>
      </c>
      <c r="P150" s="1">
        <v>0.89339999999999997</v>
      </c>
      <c r="Q150" s="1">
        <v>0.72489999999999999</v>
      </c>
      <c r="R150" s="1">
        <v>-2.3136999999999999</v>
      </c>
      <c r="S150" s="1">
        <v>1.5800000000000002E-2</v>
      </c>
      <c r="T150" s="1">
        <v>1.9024000000000001</v>
      </c>
      <c r="U150" s="1">
        <v>2.6815000000000002</v>
      </c>
      <c r="V150" s="1">
        <v>2.0053999999999998</v>
      </c>
      <c r="W150" s="1">
        <v>100.7</v>
      </c>
      <c r="X150" s="1">
        <v>1</v>
      </c>
      <c r="Y150" s="1">
        <v>1.4967999999999999</v>
      </c>
      <c r="AA150" s="1">
        <v>0.58720000000000006</v>
      </c>
      <c r="AB150" s="1">
        <v>-0.68230000000000002</v>
      </c>
      <c r="AC150" s="1">
        <v>0.1699</v>
      </c>
      <c r="AD150" s="1">
        <v>3.9733999999999998</v>
      </c>
      <c r="AE150" s="1">
        <v>4.9706000000000001</v>
      </c>
      <c r="AF150" s="1">
        <v>2.3523000000000001</v>
      </c>
    </row>
    <row r="151" spans="1:32" s="1" customFormat="1" ht="11.25" x14ac:dyDescent="0.2">
      <c r="A151" s="1">
        <v>138</v>
      </c>
      <c r="B151" s="1">
        <v>1</v>
      </c>
      <c r="C151" s="1">
        <v>25</v>
      </c>
      <c r="D151" s="1">
        <v>1</v>
      </c>
      <c r="E151" s="1">
        <v>2.1217000000000001</v>
      </c>
      <c r="F151" s="1">
        <v>0.78480000000000005</v>
      </c>
      <c r="G151" s="1">
        <v>0.52410000000000001</v>
      </c>
      <c r="H151" s="1">
        <v>-0.63470000000000004</v>
      </c>
      <c r="I151" s="1">
        <v>1.5E-3</v>
      </c>
      <c r="J151" s="1">
        <v>3.4729999999999999</v>
      </c>
      <c r="K151" s="1">
        <v>3.9481999999999999</v>
      </c>
      <c r="L151" s="1">
        <v>1.9711000000000001</v>
      </c>
      <c r="M151" s="1">
        <v>-55.2</v>
      </c>
      <c r="N151" s="1">
        <v>1</v>
      </c>
      <c r="O151" s="1">
        <v>2.5819000000000001</v>
      </c>
      <c r="P151" s="1">
        <v>0.89949999999999997</v>
      </c>
      <c r="Q151" s="1">
        <v>0.7601</v>
      </c>
      <c r="R151" s="1">
        <v>-2.0270999999999999</v>
      </c>
      <c r="S151" s="1">
        <v>1.44E-2</v>
      </c>
      <c r="T151" s="1">
        <v>1.9291</v>
      </c>
      <c r="U151" s="1">
        <v>2.8205</v>
      </c>
      <c r="V151" s="1">
        <v>1.806</v>
      </c>
      <c r="W151" s="1">
        <v>100.3</v>
      </c>
      <c r="X151" s="1">
        <v>1</v>
      </c>
      <c r="Y151" s="1">
        <v>1.5959000000000001</v>
      </c>
      <c r="AA151" s="1">
        <v>0.54520000000000002</v>
      </c>
      <c r="AB151" s="1">
        <v>-0.63129999999999997</v>
      </c>
      <c r="AC151" s="1">
        <v>0.1452</v>
      </c>
      <c r="AD151" s="1">
        <v>4.0869999999999997</v>
      </c>
      <c r="AE151" s="1">
        <v>5.1839000000000004</v>
      </c>
      <c r="AF151" s="1">
        <v>2.1398000000000001</v>
      </c>
    </row>
    <row r="152" spans="1:32" s="1" customFormat="1" ht="11.25" x14ac:dyDescent="0.2">
      <c r="A152" s="1">
        <v>139</v>
      </c>
      <c r="B152" s="1">
        <v>1</v>
      </c>
      <c r="C152" s="1">
        <v>25</v>
      </c>
      <c r="D152" s="1">
        <v>1</v>
      </c>
      <c r="E152" s="1">
        <v>2.1785000000000001</v>
      </c>
      <c r="F152" s="1">
        <v>0.78280000000000005</v>
      </c>
      <c r="G152" s="1">
        <v>0.42759999999999998</v>
      </c>
      <c r="H152" s="1">
        <v>-0.52510000000000001</v>
      </c>
      <c r="I152" s="1">
        <v>1.1999999999999999E-3</v>
      </c>
      <c r="J152" s="1">
        <v>3.2648000000000001</v>
      </c>
      <c r="K152" s="1">
        <v>3.7804000000000002</v>
      </c>
      <c r="L152" s="1">
        <v>1.8082</v>
      </c>
      <c r="M152" s="1">
        <v>-55.3</v>
      </c>
      <c r="N152" s="1">
        <v>1</v>
      </c>
      <c r="O152" s="1">
        <v>2.6065999999999998</v>
      </c>
      <c r="P152" s="1">
        <v>0.88790000000000002</v>
      </c>
      <c r="Q152" s="1">
        <v>0.86219999999999997</v>
      </c>
      <c r="R152" s="1">
        <v>-2.9634</v>
      </c>
      <c r="S152" s="1">
        <v>1.47E-2</v>
      </c>
      <c r="T152" s="1">
        <v>1.8889</v>
      </c>
      <c r="U152" s="1">
        <v>2.7808000000000002</v>
      </c>
      <c r="V152" s="1">
        <v>1.6624000000000001</v>
      </c>
      <c r="W152" s="1">
        <v>101.2</v>
      </c>
      <c r="X152" s="1">
        <v>1</v>
      </c>
      <c r="Y152" s="1">
        <v>1.7262</v>
      </c>
      <c r="AA152" s="1">
        <v>0.7046</v>
      </c>
      <c r="AB152" s="1">
        <v>-0.89659999999999995</v>
      </c>
      <c r="AC152" s="1">
        <v>7.0400000000000004E-2</v>
      </c>
      <c r="AD152" s="1">
        <v>3.7054999999999998</v>
      </c>
      <c r="AE152" s="1">
        <v>4.8090000000000002</v>
      </c>
      <c r="AF152" s="1">
        <v>1.9476</v>
      </c>
    </row>
    <row r="153" spans="1:32" s="1" customFormat="1" ht="11.25" x14ac:dyDescent="0.2">
      <c r="A153" s="1">
        <v>140</v>
      </c>
      <c r="B153" s="1">
        <v>1</v>
      </c>
      <c r="C153" s="1">
        <v>25</v>
      </c>
      <c r="D153" s="1">
        <v>1</v>
      </c>
      <c r="E153" s="1">
        <v>2.0609000000000002</v>
      </c>
      <c r="F153" s="1">
        <v>0.78139999999999998</v>
      </c>
      <c r="G153" s="1">
        <v>0.56720000000000004</v>
      </c>
      <c r="H153" s="1">
        <v>-0.61380000000000001</v>
      </c>
      <c r="I153" s="1">
        <v>1.4E-3</v>
      </c>
      <c r="J153" s="1">
        <v>3.4104999999999999</v>
      </c>
      <c r="K153" s="1">
        <v>3.8058999999999998</v>
      </c>
      <c r="L153" s="1">
        <v>1.849</v>
      </c>
      <c r="M153" s="1">
        <v>-55.4</v>
      </c>
      <c r="N153" s="1">
        <v>1</v>
      </c>
      <c r="O153" s="1">
        <v>2.5013999999999998</v>
      </c>
      <c r="P153" s="1">
        <v>0.8952</v>
      </c>
      <c r="Q153" s="1">
        <v>0.76859999999999995</v>
      </c>
      <c r="R153" s="1">
        <v>-1.2877000000000001</v>
      </c>
      <c r="S153" s="1">
        <v>1.83E-2</v>
      </c>
      <c r="T153" s="1">
        <v>1.9696</v>
      </c>
      <c r="U153" s="1">
        <v>2.7343999999999999</v>
      </c>
      <c r="V153" s="1">
        <v>1.69</v>
      </c>
      <c r="W153" s="1">
        <v>100.9</v>
      </c>
      <c r="X153" s="1">
        <v>1</v>
      </c>
      <c r="Y153" s="1">
        <v>1.5833999999999999</v>
      </c>
      <c r="AA153" s="1">
        <v>0.51190000000000002</v>
      </c>
      <c r="AB153" s="1">
        <v>-0.63300000000000001</v>
      </c>
      <c r="AC153" s="1">
        <v>0.12570000000000001</v>
      </c>
      <c r="AD153" s="1">
        <v>3.8538000000000001</v>
      </c>
      <c r="AE153" s="1">
        <v>4.8727</v>
      </c>
      <c r="AF153" s="1">
        <v>2.004</v>
      </c>
    </row>
    <row r="154" spans="1:32" s="1" customFormat="1" ht="11.25" x14ac:dyDescent="0.2">
      <c r="A154" s="1">
        <v>141</v>
      </c>
      <c r="B154" s="1">
        <v>1</v>
      </c>
      <c r="C154" s="1">
        <v>25</v>
      </c>
      <c r="D154" s="1">
        <v>1</v>
      </c>
      <c r="E154" s="1">
        <v>1.9796</v>
      </c>
      <c r="F154" s="1">
        <v>0.77849999999999997</v>
      </c>
      <c r="G154" s="1">
        <v>0.44140000000000001</v>
      </c>
      <c r="H154" s="1">
        <v>-0.53210000000000002</v>
      </c>
      <c r="I154" s="1">
        <v>1.4E-3</v>
      </c>
      <c r="J154" s="1">
        <v>3.4005999999999998</v>
      </c>
      <c r="K154" s="1">
        <v>3.8007</v>
      </c>
      <c r="L154" s="1">
        <v>1.9542999999999999</v>
      </c>
      <c r="M154" s="1">
        <v>-55.5</v>
      </c>
      <c r="N154" s="1">
        <v>1</v>
      </c>
      <c r="O154" s="1">
        <v>2.3797999999999999</v>
      </c>
      <c r="P154" s="1">
        <v>0.89600000000000002</v>
      </c>
      <c r="Q154" s="1">
        <v>0.94630000000000003</v>
      </c>
      <c r="R154" s="1">
        <v>-5.1691000000000003</v>
      </c>
      <c r="S154" s="1">
        <v>1.6799999999999999E-2</v>
      </c>
      <c r="T154" s="1">
        <v>1.9205000000000001</v>
      </c>
      <c r="U154" s="1">
        <v>2.7101999999999999</v>
      </c>
      <c r="V154" s="1">
        <v>1.7886</v>
      </c>
      <c r="W154" s="1">
        <v>100.5</v>
      </c>
      <c r="X154" s="1">
        <v>1</v>
      </c>
      <c r="Y154" s="1">
        <v>1.5084</v>
      </c>
      <c r="AA154" s="1">
        <v>0.59309999999999996</v>
      </c>
      <c r="AB154" s="1">
        <v>-0.66400000000000003</v>
      </c>
      <c r="AC154" s="1">
        <v>0.1797</v>
      </c>
      <c r="AD154" s="1">
        <v>3.9670999999999998</v>
      </c>
      <c r="AE154" s="1">
        <v>4.9387999999999996</v>
      </c>
      <c r="AF154" s="1">
        <v>2.1225000000000001</v>
      </c>
    </row>
  </sheetData>
  <conditionalFormatting sqref="A143">
    <cfRule type="duplicateValues" dxfId="14" priority="1"/>
  </conditionalFormatting>
  <conditionalFormatting sqref="A144:A49992 A19:A142">
    <cfRule type="duplicateValues" dxfId="13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BB67-33C0-4AB9-8D4E-B188E167B301}">
  <dimension ref="A1:AF154"/>
  <sheetViews>
    <sheetView topLeftCell="A37" workbookViewId="0">
      <selection activeCell="AB21" sqref="AB21"/>
    </sheetView>
  </sheetViews>
  <sheetFormatPr defaultRowHeight="15" x14ac:dyDescent="0.25"/>
  <sheetData>
    <row r="1" spans="1:32" s="1" customFormat="1" ht="11.25" x14ac:dyDescent="0.2">
      <c r="C1" s="1" t="s">
        <v>91</v>
      </c>
    </row>
    <row r="2" spans="1:32" s="1" customFormat="1" ht="11.25" x14ac:dyDescent="0.2"/>
    <row r="3" spans="1:32" s="2" customFormat="1" ht="11.25" x14ac:dyDescent="0.2">
      <c r="A3" s="2" t="s">
        <v>1</v>
      </c>
      <c r="B3" s="2" t="s">
        <v>92</v>
      </c>
      <c r="D3" s="2" t="s">
        <v>36</v>
      </c>
      <c r="E3" s="2" t="s">
        <v>35</v>
      </c>
    </row>
    <row r="4" spans="1:32" s="2" customFormat="1" ht="11.25" x14ac:dyDescent="0.2">
      <c r="A4" s="2" t="s">
        <v>2</v>
      </c>
      <c r="B4" s="2" t="s">
        <v>42</v>
      </c>
      <c r="D4" s="2" t="s">
        <v>34</v>
      </c>
      <c r="E4" s="2" t="s">
        <v>89</v>
      </c>
    </row>
    <row r="5" spans="1:32" s="2" customFormat="1" ht="11.25" x14ac:dyDescent="0.2">
      <c r="A5" s="2" t="s">
        <v>3</v>
      </c>
      <c r="B5" s="2" t="s">
        <v>42</v>
      </c>
      <c r="D5" s="2" t="s">
        <v>33</v>
      </c>
      <c r="E5" s="2">
        <f>COUNT(B19:B154)</f>
        <v>136</v>
      </c>
    </row>
    <row r="6" spans="1:32" s="2" customFormat="1" ht="11.25" x14ac:dyDescent="0.2">
      <c r="A6" s="2" t="s">
        <v>4</v>
      </c>
      <c r="B6" s="2" t="s">
        <v>44</v>
      </c>
      <c r="D6" s="2" t="s">
        <v>32</v>
      </c>
      <c r="E6" s="2">
        <f>SUMIF(B19:B154,1)</f>
        <v>136</v>
      </c>
    </row>
    <row r="7" spans="1:32" s="2" customFormat="1" ht="11.25" x14ac:dyDescent="0.2">
      <c r="A7" s="2" t="s">
        <v>5</v>
      </c>
      <c r="B7" s="3" t="s">
        <v>45</v>
      </c>
      <c r="D7" s="2" t="s">
        <v>31</v>
      </c>
      <c r="E7" s="2">
        <f>E5-E6</f>
        <v>0</v>
      </c>
    </row>
    <row r="8" spans="1:32" s="1" customFormat="1" ht="11.25" x14ac:dyDescent="0.2"/>
    <row r="9" spans="1:32" s="1" customFormat="1" ht="11.25" x14ac:dyDescent="0.2"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54</v>
      </c>
      <c r="L9" s="1" t="s">
        <v>55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54</v>
      </c>
      <c r="V9" s="1" t="s">
        <v>55</v>
      </c>
      <c r="W9" s="1" t="s">
        <v>46</v>
      </c>
      <c r="X9" s="1" t="s">
        <v>47</v>
      </c>
      <c r="Y9" s="1" t="s">
        <v>48</v>
      </c>
      <c r="Z9" s="4" t="s">
        <v>49</v>
      </c>
      <c r="AA9" s="4" t="s">
        <v>50</v>
      </c>
      <c r="AB9" s="1" t="s">
        <v>51</v>
      </c>
      <c r="AC9" s="1" t="s">
        <v>52</v>
      </c>
      <c r="AD9" s="1" t="s">
        <v>53</v>
      </c>
      <c r="AE9" s="1" t="s">
        <v>54</v>
      </c>
      <c r="AF9" s="1" t="s">
        <v>55</v>
      </c>
    </row>
    <row r="10" spans="1:32" s="1" customFormat="1" ht="11.25" x14ac:dyDescent="0.2">
      <c r="A10" s="2" t="s">
        <v>6</v>
      </c>
      <c r="B10" s="2" t="s">
        <v>7</v>
      </c>
      <c r="C10" s="1" t="s">
        <v>56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39</v>
      </c>
      <c r="I10" s="1" t="s">
        <v>12</v>
      </c>
      <c r="J10" s="1" t="s">
        <v>13</v>
      </c>
      <c r="K10" s="1" t="s">
        <v>30</v>
      </c>
      <c r="L10" s="1" t="s">
        <v>29</v>
      </c>
      <c r="M10" s="1" t="s">
        <v>38</v>
      </c>
      <c r="N10" s="1" t="s">
        <v>28</v>
      </c>
      <c r="O10" s="1" t="s">
        <v>27</v>
      </c>
      <c r="P10" s="1" t="s">
        <v>26</v>
      </c>
      <c r="Q10" s="1" t="s">
        <v>25</v>
      </c>
      <c r="R10" s="1" t="s">
        <v>37</v>
      </c>
      <c r="S10" s="1" t="s">
        <v>24</v>
      </c>
      <c r="T10" s="1" t="s">
        <v>23</v>
      </c>
      <c r="U10" s="1" t="s">
        <v>22</v>
      </c>
      <c r="V10" s="1" t="s">
        <v>21</v>
      </c>
      <c r="W10" s="1" t="s">
        <v>57</v>
      </c>
      <c r="X10" s="1" t="s">
        <v>58</v>
      </c>
      <c r="Y10" s="1" t="s">
        <v>59</v>
      </c>
      <c r="Z10" s="4" t="s">
        <v>26</v>
      </c>
      <c r="AA10" s="4" t="s">
        <v>60</v>
      </c>
      <c r="AB10" s="1" t="s">
        <v>61</v>
      </c>
      <c r="AC10" s="1" t="s">
        <v>62</v>
      </c>
      <c r="AD10" s="1" t="s">
        <v>63</v>
      </c>
      <c r="AE10" s="1" t="s">
        <v>64</v>
      </c>
      <c r="AF10" s="1" t="s">
        <v>65</v>
      </c>
    </row>
    <row r="11" spans="1:32" s="1" customFormat="1" ht="11.25" x14ac:dyDescent="0.2">
      <c r="D11" s="1" t="s">
        <v>66</v>
      </c>
      <c r="E11" s="1" t="s">
        <v>67</v>
      </c>
      <c r="F11" s="1" t="s">
        <v>68</v>
      </c>
      <c r="G11" s="1" t="s">
        <v>69</v>
      </c>
      <c r="H11" s="1" t="s">
        <v>69</v>
      </c>
      <c r="I11" s="1" t="s">
        <v>70</v>
      </c>
      <c r="J11" s="1" t="s">
        <v>71</v>
      </c>
      <c r="K11" s="1" t="s">
        <v>72</v>
      </c>
      <c r="N11" s="1" t="s">
        <v>73</v>
      </c>
      <c r="O11" s="1" t="s">
        <v>90</v>
      </c>
      <c r="P11" s="1" t="s">
        <v>68</v>
      </c>
      <c r="Q11" s="1" t="s">
        <v>69</v>
      </c>
      <c r="R11" s="1" t="s">
        <v>69</v>
      </c>
      <c r="S11" s="1" t="s">
        <v>70</v>
      </c>
      <c r="T11" s="1" t="s">
        <v>75</v>
      </c>
      <c r="U11" s="1" t="s">
        <v>76</v>
      </c>
      <c r="X11" s="1" t="s">
        <v>73</v>
      </c>
      <c r="Y11" s="1" t="s">
        <v>90</v>
      </c>
      <c r="Z11" s="4" t="s">
        <v>68</v>
      </c>
      <c r="AA11" s="4" t="s">
        <v>69</v>
      </c>
      <c r="AB11" s="1" t="s">
        <v>69</v>
      </c>
      <c r="AC11" s="1" t="s">
        <v>70</v>
      </c>
      <c r="AD11" s="1" t="s">
        <v>71</v>
      </c>
      <c r="AE11" s="1" t="s">
        <v>72</v>
      </c>
    </row>
    <row r="12" spans="1:32" s="1" customFormat="1" ht="11.25" x14ac:dyDescent="0.2">
      <c r="C12" s="1" t="s">
        <v>77</v>
      </c>
      <c r="D12" s="1" t="s">
        <v>78</v>
      </c>
      <c r="E12" s="1" t="s">
        <v>79</v>
      </c>
      <c r="F12" s="1" t="s">
        <v>79</v>
      </c>
      <c r="G12" s="1" t="s">
        <v>80</v>
      </c>
      <c r="H12" s="1" t="s">
        <v>80</v>
      </c>
      <c r="I12" s="1" t="s">
        <v>0</v>
      </c>
      <c r="J12" s="1" t="s">
        <v>81</v>
      </c>
      <c r="K12" s="1" t="s">
        <v>81</v>
      </c>
      <c r="L12" s="1" t="s">
        <v>82</v>
      </c>
      <c r="M12" s="1" t="s">
        <v>77</v>
      </c>
      <c r="N12" s="1" t="s">
        <v>78</v>
      </c>
      <c r="O12" s="1" t="s">
        <v>79</v>
      </c>
      <c r="P12" s="1" t="s">
        <v>79</v>
      </c>
      <c r="Q12" s="1" t="s">
        <v>80</v>
      </c>
      <c r="R12" s="1" t="s">
        <v>80</v>
      </c>
      <c r="S12" s="1" t="s">
        <v>0</v>
      </c>
      <c r="T12" s="1" t="s">
        <v>81</v>
      </c>
      <c r="U12" s="1" t="s">
        <v>81</v>
      </c>
      <c r="V12" s="1" t="s">
        <v>82</v>
      </c>
      <c r="W12" s="1" t="s">
        <v>77</v>
      </c>
      <c r="X12" s="1" t="s">
        <v>78</v>
      </c>
      <c r="Y12" s="1" t="s">
        <v>79</v>
      </c>
      <c r="Z12" s="4" t="s">
        <v>79</v>
      </c>
      <c r="AA12" s="4" t="s">
        <v>80</v>
      </c>
      <c r="AB12" s="1" t="s">
        <v>80</v>
      </c>
      <c r="AC12" s="1" t="s">
        <v>0</v>
      </c>
      <c r="AD12" s="1" t="s">
        <v>81</v>
      </c>
      <c r="AE12" s="1" t="s">
        <v>81</v>
      </c>
      <c r="AF12" s="1" t="s">
        <v>82</v>
      </c>
    </row>
    <row r="13" spans="1:32" s="1" customFormat="1" ht="11.25" x14ac:dyDescent="0.2">
      <c r="A13" s="2" t="s">
        <v>14</v>
      </c>
      <c r="C13" s="1">
        <v>28</v>
      </c>
      <c r="D13" s="1">
        <v>1.5</v>
      </c>
      <c r="E13" s="1">
        <v>2.5</v>
      </c>
      <c r="F13" s="1">
        <v>1.2</v>
      </c>
      <c r="G13" s="1">
        <v>100</v>
      </c>
      <c r="H13" s="1">
        <v>100</v>
      </c>
      <c r="I13" s="1">
        <v>1</v>
      </c>
      <c r="J13" s="1">
        <v>3.8</v>
      </c>
      <c r="K13" s="1">
        <v>5</v>
      </c>
      <c r="L13" s="1">
        <v>4.9000000000000004</v>
      </c>
      <c r="M13" s="1">
        <v>-52</v>
      </c>
      <c r="N13" s="1">
        <v>1.5</v>
      </c>
      <c r="O13" s="1">
        <v>3.1</v>
      </c>
      <c r="P13" s="1">
        <v>1.2</v>
      </c>
      <c r="Q13" s="1">
        <v>100</v>
      </c>
      <c r="R13" s="1">
        <v>100</v>
      </c>
      <c r="S13" s="1">
        <v>1</v>
      </c>
      <c r="T13" s="1">
        <v>3.8</v>
      </c>
      <c r="U13" s="1">
        <v>5</v>
      </c>
      <c r="V13" s="1">
        <v>4.9000000000000004</v>
      </c>
      <c r="W13" s="1">
        <v>103</v>
      </c>
      <c r="X13" s="1">
        <v>1.5</v>
      </c>
      <c r="Y13" s="1">
        <v>2.5</v>
      </c>
      <c r="Z13" s="4">
        <v>1.2</v>
      </c>
      <c r="AA13" s="4">
        <v>100</v>
      </c>
      <c r="AB13" s="1">
        <v>100</v>
      </c>
      <c r="AC13" s="1">
        <v>50</v>
      </c>
      <c r="AD13" s="1">
        <v>7</v>
      </c>
      <c r="AE13" s="1">
        <v>7</v>
      </c>
      <c r="AF13" s="1">
        <v>4.9000000000000004</v>
      </c>
    </row>
    <row r="14" spans="1:32" s="1" customFormat="1" ht="11.25" x14ac:dyDescent="0.2">
      <c r="A14" s="2" t="s">
        <v>16</v>
      </c>
      <c r="C14" s="1">
        <v>22</v>
      </c>
      <c r="D14" s="1">
        <v>0.5</v>
      </c>
      <c r="E14" s="1">
        <v>1.5</v>
      </c>
      <c r="F14" s="1" t="s">
        <v>15</v>
      </c>
      <c r="G14" s="1">
        <v>-100</v>
      </c>
      <c r="H14" s="1">
        <v>-100</v>
      </c>
      <c r="I14" s="1">
        <v>0</v>
      </c>
      <c r="J14" s="1">
        <v>0</v>
      </c>
      <c r="K14" s="1">
        <v>0</v>
      </c>
      <c r="L14" s="1">
        <v>0.9</v>
      </c>
      <c r="M14" s="1">
        <v>-58</v>
      </c>
      <c r="N14" s="1">
        <v>0.5</v>
      </c>
      <c r="O14" s="1">
        <v>1.8</v>
      </c>
      <c r="P14" s="1" t="s">
        <v>15</v>
      </c>
      <c r="Q14" s="1">
        <v>-100</v>
      </c>
      <c r="R14" s="1">
        <v>-100</v>
      </c>
      <c r="S14" s="1">
        <v>0</v>
      </c>
      <c r="T14" s="1">
        <v>0</v>
      </c>
      <c r="U14" s="1">
        <v>0</v>
      </c>
      <c r="V14" s="1">
        <v>0.9</v>
      </c>
      <c r="W14" s="1">
        <v>97</v>
      </c>
      <c r="X14" s="1">
        <v>0.5</v>
      </c>
      <c r="Y14" s="1">
        <v>1</v>
      </c>
      <c r="Z14" s="4" t="s">
        <v>15</v>
      </c>
      <c r="AA14" s="4">
        <v>-100</v>
      </c>
      <c r="AB14" s="1">
        <v>-100</v>
      </c>
      <c r="AC14" s="1">
        <v>0</v>
      </c>
      <c r="AD14" s="1">
        <v>0</v>
      </c>
      <c r="AE14" s="1">
        <v>0</v>
      </c>
      <c r="AF14" s="1">
        <v>0.9</v>
      </c>
    </row>
    <row r="15" spans="1:32" s="2" customFormat="1" ht="11.25" x14ac:dyDescent="0.2">
      <c r="A15" s="2" t="s">
        <v>17</v>
      </c>
      <c r="C15" s="2">
        <f t="shared" ref="C15:AF15" si="0">MIN(C19:C154)</f>
        <v>24.8</v>
      </c>
      <c r="D15" s="2">
        <f t="shared" si="0"/>
        <v>1</v>
      </c>
      <c r="E15" s="2">
        <f t="shared" si="0"/>
        <v>1.9198999999999999</v>
      </c>
      <c r="F15" s="2">
        <f t="shared" si="0"/>
        <v>0.77259999999999995</v>
      </c>
      <c r="G15" s="2">
        <f t="shared" si="0"/>
        <v>0.28860000000000002</v>
      </c>
      <c r="H15" s="2">
        <f t="shared" si="0"/>
        <v>-0.67659999999999998</v>
      </c>
      <c r="I15" s="2">
        <f t="shared" si="0"/>
        <v>2.9999999999999997E-4</v>
      </c>
      <c r="J15" s="2">
        <f t="shared" si="0"/>
        <v>2.6227999999999998</v>
      </c>
      <c r="K15" s="2">
        <f t="shared" si="0"/>
        <v>3.4405000000000001</v>
      </c>
      <c r="L15" s="2">
        <f t="shared" si="0"/>
        <v>1.6476</v>
      </c>
      <c r="M15" s="2">
        <f t="shared" si="0"/>
        <v>-56.8</v>
      </c>
      <c r="N15" s="2">
        <f t="shared" si="0"/>
        <v>1</v>
      </c>
      <c r="O15" s="2">
        <f t="shared" si="0"/>
        <v>2.2425999999999999</v>
      </c>
      <c r="P15" s="2">
        <f t="shared" si="0"/>
        <v>0.86250000000000004</v>
      </c>
      <c r="Q15" s="2">
        <f t="shared" si="0"/>
        <v>0.24809999999999999</v>
      </c>
      <c r="R15" s="2">
        <f t="shared" si="0"/>
        <v>-75.021699999999996</v>
      </c>
      <c r="S15" s="2">
        <f t="shared" si="0"/>
        <v>1.1999999999999999E-3</v>
      </c>
      <c r="T15" s="2">
        <f t="shared" si="0"/>
        <v>1.0819000000000001</v>
      </c>
      <c r="U15" s="2">
        <f t="shared" si="0"/>
        <v>2.4115000000000002</v>
      </c>
      <c r="V15" s="2">
        <f t="shared" si="0"/>
        <v>1.5207999999999999</v>
      </c>
      <c r="W15" s="2">
        <f t="shared" si="0"/>
        <v>99.8</v>
      </c>
      <c r="X15" s="2">
        <f t="shared" si="0"/>
        <v>1</v>
      </c>
      <c r="Y15" s="2">
        <f t="shared" si="0"/>
        <v>1.4133</v>
      </c>
      <c r="AB15" s="2">
        <f t="shared" si="0"/>
        <v>-0.9002</v>
      </c>
      <c r="AC15" s="2">
        <f t="shared" si="0"/>
        <v>1.6899999999999998E-2</v>
      </c>
      <c r="AD15" s="2">
        <f t="shared" si="0"/>
        <v>2.8180000000000001</v>
      </c>
      <c r="AE15" s="2">
        <f t="shared" si="0"/>
        <v>4.3257000000000003</v>
      </c>
      <c r="AF15" s="2">
        <f t="shared" si="0"/>
        <v>1.7649999999999999</v>
      </c>
    </row>
    <row r="16" spans="1:32" s="2" customFormat="1" ht="11.25" x14ac:dyDescent="0.2">
      <c r="A16" s="2" t="s">
        <v>18</v>
      </c>
      <c r="C16" s="2">
        <f t="shared" ref="C16:AF16" si="1">MAX(C19:C154)</f>
        <v>25.2</v>
      </c>
      <c r="D16" s="2">
        <f t="shared" si="1"/>
        <v>1</v>
      </c>
      <c r="E16" s="2">
        <f t="shared" si="1"/>
        <v>2.3125</v>
      </c>
      <c r="F16" s="2">
        <f t="shared" si="1"/>
        <v>0.79259999999999997</v>
      </c>
      <c r="G16" s="2">
        <f t="shared" si="1"/>
        <v>0.63129999999999997</v>
      </c>
      <c r="H16" s="2">
        <f t="shared" si="1"/>
        <v>-0.32290000000000002</v>
      </c>
      <c r="I16" s="2">
        <f t="shared" si="1"/>
        <v>1.9E-3</v>
      </c>
      <c r="J16" s="2">
        <f t="shared" si="1"/>
        <v>3.6968999999999999</v>
      </c>
      <c r="K16" s="2">
        <f t="shared" si="1"/>
        <v>4.3129</v>
      </c>
      <c r="L16" s="2">
        <f t="shared" si="1"/>
        <v>2.3289</v>
      </c>
      <c r="M16" s="2">
        <f t="shared" si="1"/>
        <v>-54.6</v>
      </c>
      <c r="N16" s="2">
        <f t="shared" si="1"/>
        <v>1</v>
      </c>
      <c r="O16" s="2">
        <f t="shared" si="1"/>
        <v>2.7827000000000002</v>
      </c>
      <c r="P16" s="2">
        <f t="shared" si="1"/>
        <v>0.9032</v>
      </c>
      <c r="Q16" s="2">
        <f t="shared" si="1"/>
        <v>17.223299999999998</v>
      </c>
      <c r="R16" s="2">
        <f t="shared" si="1"/>
        <v>-0.29330000000000001</v>
      </c>
      <c r="S16" s="2">
        <f t="shared" si="1"/>
        <v>4.7000000000000002E-3</v>
      </c>
      <c r="T16" s="2">
        <f t="shared" si="1"/>
        <v>1.5791999999999999</v>
      </c>
      <c r="U16" s="2">
        <f t="shared" si="1"/>
        <v>3.339</v>
      </c>
      <c r="V16" s="2">
        <f t="shared" si="1"/>
        <v>2.1709000000000001</v>
      </c>
      <c r="W16" s="2">
        <f t="shared" si="1"/>
        <v>101.7</v>
      </c>
      <c r="X16" s="2">
        <f t="shared" si="1"/>
        <v>1</v>
      </c>
      <c r="Y16" s="2">
        <f t="shared" si="1"/>
        <v>1.9926999999999999</v>
      </c>
      <c r="AB16" s="2">
        <f t="shared" si="1"/>
        <v>-0.47239999999999999</v>
      </c>
      <c r="AC16" s="2">
        <f t="shared" si="1"/>
        <v>0.24679999999999999</v>
      </c>
      <c r="AD16" s="2">
        <f t="shared" si="1"/>
        <v>3.5486</v>
      </c>
      <c r="AE16" s="2">
        <f t="shared" si="1"/>
        <v>5.1818999999999997</v>
      </c>
      <c r="AF16" s="2">
        <f t="shared" si="1"/>
        <v>2.5150999999999999</v>
      </c>
    </row>
    <row r="17" spans="1:32" s="2" customFormat="1" ht="11.25" x14ac:dyDescent="0.2">
      <c r="A17" s="2" t="s">
        <v>19</v>
      </c>
      <c r="C17" s="2">
        <f t="shared" ref="C17:AF17" si="2">AVERAGE(C19:C154)</f>
        <v>24.986029411764719</v>
      </c>
      <c r="D17" s="2">
        <f t="shared" si="2"/>
        <v>1</v>
      </c>
      <c r="E17" s="2">
        <f t="shared" si="2"/>
        <v>2.0271066176470582</v>
      </c>
      <c r="F17" s="2">
        <f t="shared" si="2"/>
        <v>0.78038161764705904</v>
      </c>
      <c r="G17" s="2">
        <f t="shared" si="2"/>
        <v>0.45422279411764693</v>
      </c>
      <c r="H17" s="2">
        <f t="shared" si="2"/>
        <v>-0.52852794117647062</v>
      </c>
      <c r="I17" s="2">
        <f t="shared" si="2"/>
        <v>7.8308823529411788E-4</v>
      </c>
      <c r="J17" s="2">
        <f t="shared" si="2"/>
        <v>2.8991683823529426</v>
      </c>
      <c r="K17" s="2">
        <f t="shared" si="2"/>
        <v>3.6203110294117646</v>
      </c>
      <c r="L17" s="2">
        <f t="shared" si="2"/>
        <v>2.0336389705882363</v>
      </c>
      <c r="M17" s="2">
        <f t="shared" si="2"/>
        <v>-55.3705882352941</v>
      </c>
      <c r="N17" s="2">
        <f t="shared" si="2"/>
        <v>1</v>
      </c>
      <c r="O17" s="2">
        <f t="shared" si="2"/>
        <v>2.4112933823529414</v>
      </c>
      <c r="P17" s="2">
        <f t="shared" si="2"/>
        <v>0.88531691176470617</v>
      </c>
      <c r="Q17" s="2">
        <f t="shared" si="2"/>
        <v>0.90063382352941157</v>
      </c>
      <c r="R17" s="2">
        <f t="shared" si="2"/>
        <v>-3.0115757352941177</v>
      </c>
      <c r="S17" s="2">
        <f t="shared" si="2"/>
        <v>3.2220588235294142E-3</v>
      </c>
      <c r="T17" s="2">
        <f t="shared" si="2"/>
        <v>1.3682147058823531</v>
      </c>
      <c r="U17" s="2">
        <f t="shared" si="2"/>
        <v>2.628438235294118</v>
      </c>
      <c r="V17" s="2">
        <f t="shared" si="2"/>
        <v>1.8779889705882349</v>
      </c>
      <c r="W17" s="2">
        <f t="shared" si="2"/>
        <v>100.81764705882352</v>
      </c>
      <c r="X17" s="2">
        <f t="shared" si="2"/>
        <v>1</v>
      </c>
      <c r="Y17" s="2">
        <f t="shared" si="2"/>
        <v>1.6260845588235291</v>
      </c>
      <c r="AB17" s="2">
        <f t="shared" si="2"/>
        <v>-0.68251029411764685</v>
      </c>
      <c r="AC17" s="2">
        <f t="shared" si="2"/>
        <v>8.9677205882352978E-2</v>
      </c>
      <c r="AD17" s="2">
        <f t="shared" si="2"/>
        <v>3.1670455882352937</v>
      </c>
      <c r="AE17" s="2">
        <f t="shared" si="2"/>
        <v>4.6181154411764709</v>
      </c>
      <c r="AF17" s="2">
        <f t="shared" si="2"/>
        <v>2.1873970588235299</v>
      </c>
    </row>
    <row r="18" spans="1:32" s="2" customFormat="1" ht="11.25" x14ac:dyDescent="0.2">
      <c r="A18" s="2" t="s">
        <v>20</v>
      </c>
      <c r="C18" s="2">
        <f t="shared" ref="C18:AF18" si="3">STDEV(C19:C154)</f>
        <v>6.460454532529851E-2</v>
      </c>
      <c r="D18" s="2">
        <f t="shared" si="3"/>
        <v>0</v>
      </c>
      <c r="E18" s="2">
        <f t="shared" si="3"/>
        <v>7.7255269221904982E-2</v>
      </c>
      <c r="F18" s="2">
        <f t="shared" si="3"/>
        <v>3.9804373890665453E-3</v>
      </c>
      <c r="G18" s="2">
        <f t="shared" si="3"/>
        <v>9.2369538803665038E-2</v>
      </c>
      <c r="H18" s="2">
        <f t="shared" si="3"/>
        <v>9.1312553752300449E-2</v>
      </c>
      <c r="I18" s="2">
        <f t="shared" si="3"/>
        <v>2.5138288549506635E-4</v>
      </c>
      <c r="J18" s="2">
        <f t="shared" si="3"/>
        <v>0.12940707903368537</v>
      </c>
      <c r="K18" s="2">
        <f t="shared" si="3"/>
        <v>0.13374906059776387</v>
      </c>
      <c r="L18" s="2">
        <f t="shared" si="3"/>
        <v>0.17141676877771245</v>
      </c>
      <c r="M18" s="2">
        <f t="shared" si="3"/>
        <v>0.29316097134479818</v>
      </c>
      <c r="N18" s="2">
        <f t="shared" si="3"/>
        <v>0</v>
      </c>
      <c r="O18" s="2">
        <f t="shared" si="3"/>
        <v>9.5893719102398786E-2</v>
      </c>
      <c r="P18" s="2">
        <f t="shared" si="3"/>
        <v>1.0854932690970043E-2</v>
      </c>
      <c r="Q18" s="2">
        <f t="shared" si="3"/>
        <v>2.2055369186972102</v>
      </c>
      <c r="R18" s="2">
        <f t="shared" si="3"/>
        <v>11.07591055160634</v>
      </c>
      <c r="S18" s="2">
        <f t="shared" si="3"/>
        <v>6.5723226363745529E-4</v>
      </c>
      <c r="T18" s="2">
        <f t="shared" si="3"/>
        <v>9.7558389376263446E-2</v>
      </c>
      <c r="U18" s="2">
        <f t="shared" si="3"/>
        <v>0.15920398890350912</v>
      </c>
      <c r="V18" s="2">
        <f t="shared" si="3"/>
        <v>0.16670813647311844</v>
      </c>
      <c r="W18" s="2">
        <f t="shared" si="3"/>
        <v>0.29335412879346734</v>
      </c>
      <c r="X18" s="2">
        <f t="shared" si="3"/>
        <v>0</v>
      </c>
      <c r="Y18" s="2">
        <f t="shared" si="3"/>
        <v>0.10262846394473499</v>
      </c>
      <c r="AB18" s="2">
        <f t="shared" si="3"/>
        <v>0.10785173793095722</v>
      </c>
      <c r="AC18" s="2">
        <f t="shared" si="3"/>
        <v>5.5327282088009549E-2</v>
      </c>
      <c r="AD18" s="2">
        <f t="shared" si="3"/>
        <v>0.14902560548947044</v>
      </c>
      <c r="AE18" s="2">
        <f t="shared" si="3"/>
        <v>0.16895929068255486</v>
      </c>
      <c r="AF18" s="2">
        <f t="shared" si="3"/>
        <v>0.17809326850721136</v>
      </c>
    </row>
    <row r="19" spans="1:32" s="1" customFormat="1" ht="11.25" x14ac:dyDescent="0.2">
      <c r="A19" s="1">
        <v>1</v>
      </c>
      <c r="B19" s="1">
        <v>1</v>
      </c>
      <c r="C19" s="1">
        <v>25.1</v>
      </c>
      <c r="D19" s="1">
        <v>1</v>
      </c>
      <c r="E19" s="1">
        <v>1.9372</v>
      </c>
      <c r="F19" s="1">
        <v>0.77800000000000002</v>
      </c>
      <c r="G19" s="1">
        <v>0.53680000000000005</v>
      </c>
      <c r="H19" s="1">
        <v>-0.44529999999999997</v>
      </c>
      <c r="I19" s="1">
        <v>8.9999999999999998E-4</v>
      </c>
      <c r="J19" s="1">
        <v>3.1755</v>
      </c>
      <c r="K19" s="1">
        <v>3.6913999999999998</v>
      </c>
      <c r="L19" s="1">
        <v>2.1953999999999998</v>
      </c>
      <c r="M19" s="1">
        <v>-54.6</v>
      </c>
      <c r="N19" s="1">
        <v>1</v>
      </c>
      <c r="O19" s="1">
        <v>2.3563999999999998</v>
      </c>
      <c r="P19" s="1">
        <v>0.89349999999999996</v>
      </c>
      <c r="Q19" s="1">
        <v>0.44479999999999997</v>
      </c>
      <c r="R19" s="1">
        <v>-0.64649999999999996</v>
      </c>
      <c r="S19" s="1">
        <v>2E-3</v>
      </c>
      <c r="T19" s="1">
        <v>1.5310999999999999</v>
      </c>
      <c r="U19" s="1">
        <v>2.5907</v>
      </c>
      <c r="V19" s="1">
        <v>2.0257000000000001</v>
      </c>
      <c r="W19" s="1">
        <v>100.8</v>
      </c>
      <c r="X19" s="1">
        <v>1</v>
      </c>
      <c r="Y19" s="1">
        <v>1.4554</v>
      </c>
      <c r="AB19" s="1">
        <v>-0.82730000000000004</v>
      </c>
      <c r="AC19" s="1">
        <v>0.18559999999999999</v>
      </c>
      <c r="AD19" s="1">
        <v>3.4664999999999999</v>
      </c>
      <c r="AE19" s="1">
        <v>4.7832999999999997</v>
      </c>
      <c r="AF19" s="1">
        <v>2.3721999999999999</v>
      </c>
    </row>
    <row r="20" spans="1:32" s="1" customFormat="1" ht="11.25" x14ac:dyDescent="0.2">
      <c r="A20" s="1">
        <v>2</v>
      </c>
      <c r="B20" s="1">
        <v>1</v>
      </c>
      <c r="C20" s="1">
        <v>25</v>
      </c>
      <c r="D20" s="1">
        <v>1</v>
      </c>
      <c r="E20" s="1">
        <v>2.0922000000000001</v>
      </c>
      <c r="F20" s="1">
        <v>0.7823</v>
      </c>
      <c r="G20" s="1">
        <v>0.42909999999999998</v>
      </c>
      <c r="H20" s="1">
        <v>-0.65969999999999995</v>
      </c>
      <c r="I20" s="1">
        <v>1.9E-3</v>
      </c>
      <c r="J20" s="1">
        <v>2.6581000000000001</v>
      </c>
      <c r="K20" s="1">
        <v>3.5571999999999999</v>
      </c>
      <c r="L20" s="1">
        <v>1.8554999999999999</v>
      </c>
      <c r="M20" s="1">
        <v>-55.2</v>
      </c>
      <c r="N20" s="1">
        <v>1</v>
      </c>
      <c r="O20" s="1">
        <v>2.5268999999999999</v>
      </c>
      <c r="P20" s="1">
        <v>0.89549999999999996</v>
      </c>
      <c r="Q20" s="1">
        <v>0.46839999999999998</v>
      </c>
      <c r="R20" s="1">
        <v>-0.66620000000000001</v>
      </c>
      <c r="S20" s="1">
        <v>2.5999999999999999E-3</v>
      </c>
      <c r="T20" s="1">
        <v>1.1778999999999999</v>
      </c>
      <c r="U20" s="1">
        <v>2.5095000000000001</v>
      </c>
      <c r="V20" s="1">
        <v>1.6009</v>
      </c>
      <c r="W20" s="1">
        <v>100.3</v>
      </c>
      <c r="X20" s="1">
        <v>1</v>
      </c>
      <c r="Y20" s="1">
        <v>1.6124000000000001</v>
      </c>
      <c r="AB20" s="1">
        <v>-0.7339</v>
      </c>
      <c r="AC20" s="1">
        <v>0.1263</v>
      </c>
      <c r="AD20" s="1">
        <v>3.0836000000000001</v>
      </c>
      <c r="AE20" s="1">
        <v>4.5822000000000003</v>
      </c>
      <c r="AF20" s="1">
        <v>2.1358000000000001</v>
      </c>
    </row>
    <row r="21" spans="1:32" s="1" customFormat="1" ht="11.25" x14ac:dyDescent="0.2">
      <c r="A21" s="1">
        <v>3</v>
      </c>
      <c r="B21" s="1">
        <v>1</v>
      </c>
      <c r="C21" s="1">
        <v>25.1</v>
      </c>
      <c r="D21" s="1">
        <v>1</v>
      </c>
      <c r="E21" s="1">
        <v>1.9967999999999999</v>
      </c>
      <c r="F21" s="1">
        <v>0.78010000000000002</v>
      </c>
      <c r="G21" s="1">
        <v>0.5887</v>
      </c>
      <c r="H21" s="1">
        <v>-0.6704</v>
      </c>
      <c r="I21" s="1">
        <v>6.9999999999999999E-4</v>
      </c>
      <c r="J21" s="1">
        <v>2.7576999999999998</v>
      </c>
      <c r="K21" s="1">
        <v>3.4477000000000002</v>
      </c>
      <c r="L21" s="1">
        <v>1.9525999999999999</v>
      </c>
      <c r="M21" s="1">
        <v>-55.1</v>
      </c>
      <c r="N21" s="1">
        <v>1</v>
      </c>
      <c r="O21" s="1">
        <v>2.4053</v>
      </c>
      <c r="P21" s="1">
        <v>0.89429999999999998</v>
      </c>
      <c r="Q21" s="1">
        <v>0.53439999999999999</v>
      </c>
      <c r="R21" s="1">
        <v>-0.65390000000000004</v>
      </c>
      <c r="S21" s="1">
        <v>3.7000000000000002E-3</v>
      </c>
      <c r="T21" s="1">
        <v>1.2877000000000001</v>
      </c>
      <c r="U21" s="1">
        <v>2.4243999999999999</v>
      </c>
      <c r="V21" s="1">
        <v>1.7877000000000001</v>
      </c>
      <c r="W21" s="1">
        <v>100.6</v>
      </c>
      <c r="X21" s="1">
        <v>1</v>
      </c>
      <c r="Y21" s="1">
        <v>1.5299</v>
      </c>
      <c r="AB21" s="1">
        <v>-0.88829999999999998</v>
      </c>
      <c r="AC21" s="1">
        <v>0.13980000000000001</v>
      </c>
      <c r="AD21" s="1">
        <v>3.1385999999999998</v>
      </c>
      <c r="AE21" s="1">
        <v>4.4960000000000004</v>
      </c>
      <c r="AF21" s="1">
        <v>2.1187999999999998</v>
      </c>
    </row>
    <row r="22" spans="1:32" s="1" customFormat="1" ht="11.25" x14ac:dyDescent="0.2">
      <c r="A22" s="1">
        <v>4</v>
      </c>
      <c r="B22" s="1">
        <v>1</v>
      </c>
      <c r="C22" s="1">
        <v>25.1</v>
      </c>
      <c r="D22" s="1">
        <v>1</v>
      </c>
      <c r="E22" s="1">
        <v>2.0592999999999999</v>
      </c>
      <c r="F22" s="1">
        <v>0.78420000000000001</v>
      </c>
      <c r="G22" s="1">
        <v>0.45129999999999998</v>
      </c>
      <c r="H22" s="1">
        <v>-0.45939999999999998</v>
      </c>
      <c r="I22" s="1">
        <v>1E-3</v>
      </c>
      <c r="J22" s="1">
        <v>2.8085</v>
      </c>
      <c r="K22" s="1">
        <v>3.6023999999999998</v>
      </c>
      <c r="L22" s="1">
        <v>1.8603000000000001</v>
      </c>
      <c r="M22" s="1">
        <v>-55.5</v>
      </c>
      <c r="N22" s="1">
        <v>1</v>
      </c>
      <c r="O22" s="1">
        <v>2.4672000000000001</v>
      </c>
      <c r="P22" s="1">
        <v>0.89570000000000005</v>
      </c>
      <c r="Q22" s="1">
        <v>0.53649999999999998</v>
      </c>
      <c r="R22" s="1">
        <v>-0.63839999999999997</v>
      </c>
      <c r="S22" s="1">
        <v>2.7000000000000001E-3</v>
      </c>
      <c r="T22" s="1">
        <v>1.3813</v>
      </c>
      <c r="U22" s="1">
        <v>2.6000999999999999</v>
      </c>
      <c r="V22" s="1">
        <v>1.6828000000000001</v>
      </c>
      <c r="W22" s="1">
        <v>101.7</v>
      </c>
      <c r="X22" s="1">
        <v>1</v>
      </c>
      <c r="Y22" s="1">
        <v>1.6121000000000001</v>
      </c>
      <c r="AB22" s="1">
        <v>-0.66500000000000004</v>
      </c>
      <c r="AC22" s="1">
        <v>0.1137</v>
      </c>
      <c r="AD22" s="1">
        <v>3.2766999999999999</v>
      </c>
      <c r="AE22" s="1">
        <v>4.7428999999999997</v>
      </c>
      <c r="AF22" s="1">
        <v>2.0556000000000001</v>
      </c>
    </row>
    <row r="23" spans="1:32" s="1" customFormat="1" ht="11.25" x14ac:dyDescent="0.2">
      <c r="A23" s="1">
        <v>5</v>
      </c>
      <c r="B23" s="1">
        <v>1</v>
      </c>
      <c r="C23" s="1">
        <v>25</v>
      </c>
      <c r="D23" s="1">
        <v>1</v>
      </c>
      <c r="E23" s="1">
        <v>1.923</v>
      </c>
      <c r="F23" s="1">
        <v>0.77659999999999996</v>
      </c>
      <c r="G23" s="1">
        <v>0.46739999999999998</v>
      </c>
      <c r="H23" s="1">
        <v>-0.47560000000000002</v>
      </c>
      <c r="I23" s="1">
        <v>8.0000000000000004E-4</v>
      </c>
      <c r="J23" s="1">
        <v>2.9744999999999999</v>
      </c>
      <c r="K23" s="1">
        <v>3.6551999999999998</v>
      </c>
      <c r="L23" s="1">
        <v>2.2559</v>
      </c>
      <c r="M23" s="1">
        <v>-55.4</v>
      </c>
      <c r="N23" s="1">
        <v>1</v>
      </c>
      <c r="O23" s="1">
        <v>2.3148</v>
      </c>
      <c r="P23" s="1">
        <v>0.88890000000000002</v>
      </c>
      <c r="Q23" s="1">
        <v>0.53390000000000004</v>
      </c>
      <c r="R23" s="1">
        <v>-0.44280000000000003</v>
      </c>
      <c r="S23" s="1">
        <v>2.8999999999999998E-3</v>
      </c>
      <c r="T23" s="1">
        <v>1.4222999999999999</v>
      </c>
      <c r="U23" s="1">
        <v>2.5217000000000001</v>
      </c>
      <c r="V23" s="1">
        <v>2.0869</v>
      </c>
      <c r="W23" s="1">
        <v>101.2</v>
      </c>
      <c r="X23" s="1">
        <v>1</v>
      </c>
      <c r="Y23" s="1">
        <v>1.4817</v>
      </c>
      <c r="AB23" s="1">
        <v>-0.85399999999999998</v>
      </c>
      <c r="AC23" s="1">
        <v>0.12509999999999999</v>
      </c>
      <c r="AD23" s="1">
        <v>3.3431000000000002</v>
      </c>
      <c r="AE23" s="1">
        <v>4.7003000000000004</v>
      </c>
      <c r="AF23" s="1">
        <v>2.4632999999999998</v>
      </c>
    </row>
    <row r="24" spans="1:32" s="1" customFormat="1" ht="11.25" x14ac:dyDescent="0.2">
      <c r="A24" s="1">
        <v>6</v>
      </c>
      <c r="B24" s="1">
        <v>1</v>
      </c>
      <c r="C24" s="1">
        <v>25</v>
      </c>
      <c r="D24" s="1">
        <v>1</v>
      </c>
      <c r="E24" s="1">
        <v>2.0577000000000001</v>
      </c>
      <c r="F24" s="1">
        <v>0.78439999999999999</v>
      </c>
      <c r="G24" s="1">
        <v>0.62029999999999996</v>
      </c>
      <c r="H24" s="1">
        <v>-0.64329999999999998</v>
      </c>
      <c r="I24" s="1">
        <v>1.1999999999999999E-3</v>
      </c>
      <c r="J24" s="1">
        <v>3.0712999999999999</v>
      </c>
      <c r="K24" s="1">
        <v>3.6911</v>
      </c>
      <c r="L24" s="1">
        <v>1.7928999999999999</v>
      </c>
      <c r="M24" s="1">
        <v>-55.4</v>
      </c>
      <c r="N24" s="1">
        <v>1</v>
      </c>
      <c r="O24" s="1">
        <v>2.4834999999999998</v>
      </c>
      <c r="P24" s="1">
        <v>0.90049999999999997</v>
      </c>
      <c r="Q24" s="1">
        <v>0.44829999999999998</v>
      </c>
      <c r="R24" s="1">
        <v>-0.41149999999999998</v>
      </c>
      <c r="S24" s="1">
        <v>3.3999999999999998E-3</v>
      </c>
      <c r="T24" s="1">
        <v>1.4037999999999999</v>
      </c>
      <c r="U24" s="1">
        <v>2.5909</v>
      </c>
      <c r="V24" s="1">
        <v>1.6323000000000001</v>
      </c>
      <c r="W24" s="1">
        <v>101.2</v>
      </c>
      <c r="X24" s="1">
        <v>1</v>
      </c>
      <c r="Y24" s="1">
        <v>1.5731999999999999</v>
      </c>
      <c r="AB24" s="1">
        <v>-0.78069999999999995</v>
      </c>
      <c r="AC24" s="1">
        <v>0.1658</v>
      </c>
      <c r="AD24" s="1">
        <v>3.3546999999999998</v>
      </c>
      <c r="AE24" s="1">
        <v>4.8555999999999999</v>
      </c>
      <c r="AF24" s="1">
        <v>1.9599</v>
      </c>
    </row>
    <row r="25" spans="1:32" s="1" customFormat="1" ht="11.25" x14ac:dyDescent="0.2">
      <c r="A25" s="1">
        <v>7</v>
      </c>
      <c r="B25" s="1">
        <v>1</v>
      </c>
      <c r="C25" s="1">
        <v>25</v>
      </c>
      <c r="D25" s="1">
        <v>1</v>
      </c>
      <c r="E25" s="1">
        <v>1.9339999999999999</v>
      </c>
      <c r="F25" s="1">
        <v>0.77559999999999996</v>
      </c>
      <c r="G25" s="1">
        <v>0.40770000000000001</v>
      </c>
      <c r="H25" s="1">
        <v>-0.47989999999999999</v>
      </c>
      <c r="I25" s="1">
        <v>5.9999999999999995E-4</v>
      </c>
      <c r="J25" s="1">
        <v>2.8696000000000002</v>
      </c>
      <c r="K25" s="1">
        <v>3.5613999999999999</v>
      </c>
      <c r="L25" s="1">
        <v>2.2197</v>
      </c>
      <c r="M25" s="1">
        <v>-55.4</v>
      </c>
      <c r="N25" s="1">
        <v>1</v>
      </c>
      <c r="O25" s="1">
        <v>2.3443999999999998</v>
      </c>
      <c r="P25" s="1">
        <v>0.89219999999999999</v>
      </c>
      <c r="Q25" s="1">
        <v>0.38169999999999998</v>
      </c>
      <c r="R25" s="1">
        <v>-0.58220000000000005</v>
      </c>
      <c r="S25" s="1">
        <v>3.5999999999999999E-3</v>
      </c>
      <c r="T25" s="1">
        <v>1.3811</v>
      </c>
      <c r="U25" s="1">
        <v>2.4721000000000002</v>
      </c>
      <c r="V25" s="1">
        <v>2.0482</v>
      </c>
      <c r="W25" s="1">
        <v>100.8</v>
      </c>
      <c r="X25" s="1">
        <v>1</v>
      </c>
      <c r="Y25" s="1">
        <v>1.4784999999999999</v>
      </c>
      <c r="AB25" s="1">
        <v>-0.65400000000000003</v>
      </c>
      <c r="AC25" s="1">
        <v>0.13550000000000001</v>
      </c>
      <c r="AD25" s="1">
        <v>3.4777999999999998</v>
      </c>
      <c r="AE25" s="1">
        <v>4.8066000000000004</v>
      </c>
      <c r="AF25" s="1">
        <v>2.3993000000000002</v>
      </c>
    </row>
    <row r="26" spans="1:32" s="1" customFormat="1" ht="11.25" x14ac:dyDescent="0.2">
      <c r="A26" s="1">
        <v>8</v>
      </c>
      <c r="B26" s="1">
        <v>1</v>
      </c>
      <c r="C26" s="1">
        <v>24.9</v>
      </c>
      <c r="D26" s="1">
        <v>1</v>
      </c>
      <c r="E26" s="1">
        <v>1.9883999999999999</v>
      </c>
      <c r="F26" s="1">
        <v>0.78439999999999999</v>
      </c>
      <c r="G26" s="1">
        <v>0.63129999999999997</v>
      </c>
      <c r="H26" s="1">
        <v>-0.67659999999999998</v>
      </c>
      <c r="I26" s="1">
        <v>5.0000000000000001E-4</v>
      </c>
      <c r="J26" s="1">
        <v>2.7176</v>
      </c>
      <c r="K26" s="1">
        <v>3.7349999999999999</v>
      </c>
      <c r="L26" s="1">
        <v>2.0182000000000002</v>
      </c>
      <c r="M26" s="1">
        <v>-56.4</v>
      </c>
      <c r="N26" s="1">
        <v>1</v>
      </c>
      <c r="O26" s="1">
        <v>2.3879999999999999</v>
      </c>
      <c r="P26" s="1">
        <v>0.8982</v>
      </c>
      <c r="Q26" s="1">
        <v>0.66649999999999998</v>
      </c>
      <c r="R26" s="1">
        <v>-0.57040000000000002</v>
      </c>
      <c r="S26" s="1">
        <v>2.8999999999999998E-3</v>
      </c>
      <c r="T26" s="1">
        <v>1.1786000000000001</v>
      </c>
      <c r="U26" s="1">
        <v>2.7168000000000001</v>
      </c>
      <c r="V26" s="1">
        <v>1.8556999999999999</v>
      </c>
      <c r="W26" s="1">
        <v>100.4</v>
      </c>
      <c r="X26" s="1">
        <v>1</v>
      </c>
      <c r="Y26" s="1">
        <v>1.5266999999999999</v>
      </c>
      <c r="AB26" s="1">
        <v>-0.64849999999999997</v>
      </c>
      <c r="AC26" s="1">
        <v>0.1363</v>
      </c>
      <c r="AD26" s="1">
        <v>3.2658</v>
      </c>
      <c r="AE26" s="1">
        <v>4.8620999999999999</v>
      </c>
      <c r="AF26" s="1">
        <v>2.1903000000000001</v>
      </c>
    </row>
    <row r="27" spans="1:32" s="1" customFormat="1" ht="11.25" x14ac:dyDescent="0.2">
      <c r="A27" s="1">
        <v>9</v>
      </c>
      <c r="B27" s="1">
        <v>1</v>
      </c>
      <c r="C27" s="1">
        <v>25</v>
      </c>
      <c r="D27" s="1">
        <v>1</v>
      </c>
      <c r="E27" s="1">
        <v>1.9497</v>
      </c>
      <c r="F27" s="1">
        <v>0.77429999999999999</v>
      </c>
      <c r="G27" s="1">
        <v>0.36809999999999998</v>
      </c>
      <c r="H27" s="1">
        <v>-0.60129999999999995</v>
      </c>
      <c r="I27" s="1">
        <v>4.0000000000000002E-4</v>
      </c>
      <c r="J27" s="1">
        <v>2.8290999999999999</v>
      </c>
      <c r="K27" s="1">
        <v>3.5312999999999999</v>
      </c>
      <c r="L27" s="1">
        <v>2.2829000000000002</v>
      </c>
      <c r="M27" s="1">
        <v>-55.2</v>
      </c>
      <c r="N27" s="1">
        <v>1</v>
      </c>
      <c r="O27" s="1">
        <v>2.3460000000000001</v>
      </c>
      <c r="P27" s="1">
        <v>0.8901</v>
      </c>
      <c r="Q27" s="1">
        <v>0.4773</v>
      </c>
      <c r="R27" s="1">
        <v>-0.62849999999999995</v>
      </c>
      <c r="S27" s="1">
        <v>3.5000000000000001E-3</v>
      </c>
      <c r="T27" s="1">
        <v>1.2107000000000001</v>
      </c>
      <c r="U27" s="1">
        <v>2.4603999999999999</v>
      </c>
      <c r="V27" s="1">
        <v>2.1112000000000002</v>
      </c>
      <c r="W27" s="1">
        <v>100.6</v>
      </c>
      <c r="X27" s="1">
        <v>1</v>
      </c>
      <c r="Y27" s="1">
        <v>1.5047999999999999</v>
      </c>
      <c r="AB27" s="1">
        <v>-0.66500000000000004</v>
      </c>
      <c r="AC27" s="1">
        <v>0.12989999999999999</v>
      </c>
      <c r="AD27" s="1">
        <v>3.2395999999999998</v>
      </c>
      <c r="AE27" s="1">
        <v>4.6189999999999998</v>
      </c>
      <c r="AF27" s="1">
        <v>2.4548999999999999</v>
      </c>
    </row>
    <row r="28" spans="1:32" s="1" customFormat="1" ht="11.25" x14ac:dyDescent="0.2">
      <c r="A28" s="1">
        <v>10</v>
      </c>
      <c r="B28" s="1">
        <v>1</v>
      </c>
      <c r="C28" s="1">
        <v>25.1</v>
      </c>
      <c r="D28" s="1">
        <v>1</v>
      </c>
      <c r="E28" s="1">
        <v>1.9902</v>
      </c>
      <c r="F28" s="1">
        <v>0.78120000000000001</v>
      </c>
      <c r="G28" s="1">
        <v>0.58740000000000003</v>
      </c>
      <c r="H28" s="1">
        <v>-0.60619999999999996</v>
      </c>
      <c r="I28" s="1">
        <v>4.0000000000000002E-4</v>
      </c>
      <c r="J28" s="1">
        <v>2.9903</v>
      </c>
      <c r="K28" s="1">
        <v>3.6520999999999999</v>
      </c>
      <c r="L28" s="1">
        <v>2.0655000000000001</v>
      </c>
      <c r="M28" s="1">
        <v>-55.4</v>
      </c>
      <c r="N28" s="1">
        <v>1</v>
      </c>
      <c r="O28" s="1">
        <v>2.3885000000000001</v>
      </c>
      <c r="P28" s="1">
        <v>0.89790000000000003</v>
      </c>
      <c r="Q28" s="1">
        <v>0.55559999999999998</v>
      </c>
      <c r="R28" s="1">
        <v>-0.52700000000000002</v>
      </c>
      <c r="S28" s="1">
        <v>3.7000000000000002E-3</v>
      </c>
      <c r="T28" s="1">
        <v>1.1978</v>
      </c>
      <c r="U28" s="1">
        <v>2.6095000000000002</v>
      </c>
      <c r="V28" s="1">
        <v>1.8932</v>
      </c>
      <c r="W28" s="1">
        <v>101</v>
      </c>
      <c r="X28" s="1">
        <v>1</v>
      </c>
      <c r="Y28" s="1">
        <v>1.528</v>
      </c>
      <c r="AB28" s="1">
        <v>-0.82879999999999998</v>
      </c>
      <c r="AC28" s="1">
        <v>0.17130000000000001</v>
      </c>
      <c r="AD28" s="1">
        <v>3.3452000000000002</v>
      </c>
      <c r="AE28" s="1">
        <v>4.8226000000000004</v>
      </c>
      <c r="AF28" s="1">
        <v>2.2507999999999999</v>
      </c>
    </row>
    <row r="29" spans="1:32" s="1" customFormat="1" ht="11.25" x14ac:dyDescent="0.2">
      <c r="A29" s="1">
        <v>11</v>
      </c>
      <c r="B29" s="1">
        <v>1</v>
      </c>
      <c r="C29" s="1">
        <v>25</v>
      </c>
      <c r="D29" s="1">
        <v>1</v>
      </c>
      <c r="E29" s="1">
        <v>1.9664999999999999</v>
      </c>
      <c r="F29" s="1">
        <v>0.77839999999999998</v>
      </c>
      <c r="G29" s="1">
        <v>0.37890000000000001</v>
      </c>
      <c r="H29" s="1">
        <v>-0.44400000000000001</v>
      </c>
      <c r="I29" s="1">
        <v>8.9999999999999998E-4</v>
      </c>
      <c r="J29" s="1">
        <v>2.7940999999999998</v>
      </c>
      <c r="K29" s="1">
        <v>3.5253000000000001</v>
      </c>
      <c r="L29" s="1">
        <v>2.1229</v>
      </c>
      <c r="M29" s="1">
        <v>-55.3</v>
      </c>
      <c r="N29" s="1">
        <v>1</v>
      </c>
      <c r="O29" s="1">
        <v>2.3681000000000001</v>
      </c>
      <c r="P29" s="1">
        <v>0.89580000000000004</v>
      </c>
      <c r="Q29" s="1">
        <v>0.37919999999999998</v>
      </c>
      <c r="R29" s="1">
        <v>-0.4733</v>
      </c>
      <c r="S29" s="1">
        <v>2.5000000000000001E-3</v>
      </c>
      <c r="T29" s="1">
        <v>1.1809000000000001</v>
      </c>
      <c r="U29" s="1">
        <v>2.4548000000000001</v>
      </c>
      <c r="V29" s="1">
        <v>1.9516</v>
      </c>
      <c r="W29" s="1">
        <v>100.9</v>
      </c>
      <c r="X29" s="1">
        <v>1</v>
      </c>
      <c r="Y29" s="1">
        <v>1.4955000000000001</v>
      </c>
      <c r="AB29" s="1">
        <v>-0.84350000000000003</v>
      </c>
      <c r="AC29" s="1">
        <v>0.17510000000000001</v>
      </c>
      <c r="AD29" s="1">
        <v>3.2772000000000001</v>
      </c>
      <c r="AE29" s="1">
        <v>4.7000999999999999</v>
      </c>
      <c r="AF29" s="1">
        <v>2.3003</v>
      </c>
    </row>
    <row r="30" spans="1:32" s="1" customFormat="1" ht="11.25" x14ac:dyDescent="0.2">
      <c r="A30" s="1">
        <v>12</v>
      </c>
      <c r="B30" s="1">
        <v>1</v>
      </c>
      <c r="C30" s="1">
        <v>24.9</v>
      </c>
      <c r="D30" s="1">
        <v>1</v>
      </c>
      <c r="E30" s="1">
        <v>2.1941999999999999</v>
      </c>
      <c r="F30" s="1">
        <v>0.78749999999999998</v>
      </c>
      <c r="G30" s="1">
        <v>0.47099999999999997</v>
      </c>
      <c r="H30" s="1">
        <v>-0.66739999999999999</v>
      </c>
      <c r="I30" s="1">
        <v>1E-3</v>
      </c>
      <c r="J30" s="1">
        <v>2.8982999999999999</v>
      </c>
      <c r="K30" s="1">
        <v>3.7052</v>
      </c>
      <c r="L30" s="1">
        <v>1.7199</v>
      </c>
      <c r="M30" s="1">
        <v>-55.5</v>
      </c>
      <c r="N30" s="1">
        <v>1</v>
      </c>
      <c r="O30" s="1">
        <v>2.6400999999999999</v>
      </c>
      <c r="P30" s="1">
        <v>0.90159999999999996</v>
      </c>
      <c r="Q30" s="1">
        <v>0.32179999999999997</v>
      </c>
      <c r="R30" s="1">
        <v>-0.47939999999999999</v>
      </c>
      <c r="S30" s="1">
        <v>2.8999999999999998E-3</v>
      </c>
      <c r="T30" s="1">
        <v>1.3035000000000001</v>
      </c>
      <c r="U30" s="1">
        <v>2.7363</v>
      </c>
      <c r="V30" s="1">
        <v>1.5615000000000001</v>
      </c>
      <c r="W30" s="1">
        <v>100.7</v>
      </c>
      <c r="X30" s="1">
        <v>1</v>
      </c>
      <c r="Y30" s="1">
        <v>1.6718</v>
      </c>
      <c r="AB30" s="1">
        <v>-0.78410000000000002</v>
      </c>
      <c r="AC30" s="1">
        <v>0.17469999999999999</v>
      </c>
      <c r="AD30" s="1">
        <v>3.2094</v>
      </c>
      <c r="AE30" s="1">
        <v>4.9160000000000004</v>
      </c>
      <c r="AF30" s="1">
        <v>1.8897999999999999</v>
      </c>
    </row>
    <row r="31" spans="1:32" s="1" customFormat="1" ht="11.25" x14ac:dyDescent="0.2">
      <c r="A31" s="1">
        <v>13</v>
      </c>
      <c r="B31" s="1">
        <v>1</v>
      </c>
      <c r="C31" s="1">
        <v>25</v>
      </c>
      <c r="D31" s="1">
        <v>1</v>
      </c>
      <c r="E31" s="1">
        <v>1.9871000000000001</v>
      </c>
      <c r="F31" s="1">
        <v>0.78259999999999996</v>
      </c>
      <c r="G31" s="1">
        <v>0.59160000000000001</v>
      </c>
      <c r="H31" s="1">
        <v>-0.53120000000000001</v>
      </c>
      <c r="I31" s="1">
        <v>8.9999999999999998E-4</v>
      </c>
      <c r="J31" s="1">
        <v>2.8224</v>
      </c>
      <c r="K31" s="1">
        <v>3.5882000000000001</v>
      </c>
      <c r="L31" s="1">
        <v>1.8986000000000001</v>
      </c>
      <c r="M31" s="1">
        <v>-55.3</v>
      </c>
      <c r="N31" s="1">
        <v>1</v>
      </c>
      <c r="O31" s="1">
        <v>2.3908999999999998</v>
      </c>
      <c r="P31" s="1">
        <v>0.89829999999999999</v>
      </c>
      <c r="Q31" s="1">
        <v>0.47149999999999997</v>
      </c>
      <c r="R31" s="1">
        <v>-0.61939999999999995</v>
      </c>
      <c r="S31" s="1">
        <v>3.3999999999999998E-3</v>
      </c>
      <c r="T31" s="1">
        <v>1.2770999999999999</v>
      </c>
      <c r="U31" s="1">
        <v>2.4981</v>
      </c>
      <c r="V31" s="1">
        <v>1.7346999999999999</v>
      </c>
      <c r="W31" s="1">
        <v>100.7</v>
      </c>
      <c r="X31" s="1">
        <v>1</v>
      </c>
      <c r="Y31" s="1">
        <v>1.5244</v>
      </c>
      <c r="AB31" s="1">
        <v>-0.65910000000000002</v>
      </c>
      <c r="AC31" s="1">
        <v>0.15340000000000001</v>
      </c>
      <c r="AD31" s="1">
        <v>3.3001</v>
      </c>
      <c r="AE31" s="1">
        <v>4.6874000000000002</v>
      </c>
      <c r="AF31" s="1">
        <v>2.0611000000000002</v>
      </c>
    </row>
    <row r="32" spans="1:32" s="1" customFormat="1" ht="11.25" x14ac:dyDescent="0.2">
      <c r="A32" s="1">
        <v>14</v>
      </c>
      <c r="B32" s="1">
        <v>1</v>
      </c>
      <c r="C32" s="1">
        <v>25</v>
      </c>
      <c r="D32" s="1">
        <v>1</v>
      </c>
      <c r="E32" s="1">
        <v>1.9518</v>
      </c>
      <c r="F32" s="1">
        <v>0.78339999999999999</v>
      </c>
      <c r="G32" s="1">
        <v>0.59019999999999995</v>
      </c>
      <c r="H32" s="1">
        <v>-0.56000000000000005</v>
      </c>
      <c r="I32" s="1">
        <v>1E-3</v>
      </c>
      <c r="J32" s="1">
        <v>2.8908</v>
      </c>
      <c r="K32" s="1">
        <v>3.6320000000000001</v>
      </c>
      <c r="L32" s="1">
        <v>1.9144000000000001</v>
      </c>
      <c r="M32" s="1">
        <v>-55.2</v>
      </c>
      <c r="N32" s="1">
        <v>1</v>
      </c>
      <c r="O32" s="1">
        <v>2.3401999999999998</v>
      </c>
      <c r="P32" s="1">
        <v>0.89759999999999995</v>
      </c>
      <c r="Q32" s="1">
        <v>0.4168</v>
      </c>
      <c r="R32" s="1">
        <v>-0.38069999999999998</v>
      </c>
      <c r="S32" s="1">
        <v>2.3E-3</v>
      </c>
      <c r="T32" s="1">
        <v>1.2797000000000001</v>
      </c>
      <c r="U32" s="1">
        <v>2.6524000000000001</v>
      </c>
      <c r="V32" s="1">
        <v>1.7517</v>
      </c>
      <c r="W32" s="1">
        <v>100.9</v>
      </c>
      <c r="X32" s="1">
        <v>1</v>
      </c>
      <c r="Y32" s="1">
        <v>1.518</v>
      </c>
      <c r="AB32" s="1">
        <v>-0.65800000000000003</v>
      </c>
      <c r="AC32" s="1">
        <v>0.128</v>
      </c>
      <c r="AD32" s="1">
        <v>3.1631</v>
      </c>
      <c r="AE32" s="1">
        <v>4.7492000000000001</v>
      </c>
      <c r="AF32" s="1">
        <v>2.0771000000000002</v>
      </c>
    </row>
    <row r="33" spans="1:32" s="1" customFormat="1" ht="11.25" x14ac:dyDescent="0.2">
      <c r="A33" s="1">
        <v>15</v>
      </c>
      <c r="B33" s="1">
        <v>1</v>
      </c>
      <c r="C33" s="1">
        <v>24.9</v>
      </c>
      <c r="D33" s="1">
        <v>1</v>
      </c>
      <c r="E33" s="1">
        <v>1.9256</v>
      </c>
      <c r="F33" s="1">
        <v>0.77759999999999996</v>
      </c>
      <c r="G33" s="1">
        <v>0.56769999999999998</v>
      </c>
      <c r="H33" s="1">
        <v>-0.52190000000000003</v>
      </c>
      <c r="I33" s="1">
        <v>5.0000000000000001E-4</v>
      </c>
      <c r="J33" s="1">
        <v>3.1086999999999998</v>
      </c>
      <c r="K33" s="1">
        <v>3.6724999999999999</v>
      </c>
      <c r="L33" s="1">
        <v>2.2864</v>
      </c>
      <c r="M33" s="1">
        <v>-55.3</v>
      </c>
      <c r="N33" s="1">
        <v>1</v>
      </c>
      <c r="O33" s="1">
        <v>2.3205</v>
      </c>
      <c r="P33" s="1">
        <v>0.89419999999999999</v>
      </c>
      <c r="Q33" s="1">
        <v>0.42780000000000001</v>
      </c>
      <c r="R33" s="1">
        <v>-0.39829999999999999</v>
      </c>
      <c r="S33" s="1">
        <v>3.7000000000000002E-3</v>
      </c>
      <c r="T33" s="1">
        <v>1.3090999999999999</v>
      </c>
      <c r="U33" s="1">
        <v>2.5026000000000002</v>
      </c>
      <c r="V33" s="1">
        <v>2.1128999999999998</v>
      </c>
      <c r="W33" s="1">
        <v>100.2</v>
      </c>
      <c r="X33" s="1">
        <v>1</v>
      </c>
      <c r="Y33" s="1">
        <v>1.4621</v>
      </c>
      <c r="AB33" s="1">
        <v>-0.78610000000000002</v>
      </c>
      <c r="AC33" s="1">
        <v>0.16719999999999999</v>
      </c>
      <c r="AD33" s="1">
        <v>3.3812000000000002</v>
      </c>
      <c r="AE33" s="1">
        <v>4.8525</v>
      </c>
      <c r="AF33" s="1">
        <v>2.4678</v>
      </c>
    </row>
    <row r="34" spans="1:32" s="1" customFormat="1" ht="11.25" x14ac:dyDescent="0.2">
      <c r="A34" s="1">
        <v>16</v>
      </c>
      <c r="B34" s="1">
        <v>1</v>
      </c>
      <c r="C34" s="1">
        <v>25</v>
      </c>
      <c r="D34" s="1">
        <v>1</v>
      </c>
      <c r="E34" s="1">
        <v>2.0320999999999998</v>
      </c>
      <c r="F34" s="1">
        <v>0.77969999999999995</v>
      </c>
      <c r="G34" s="1">
        <v>0.58289999999999997</v>
      </c>
      <c r="H34" s="1">
        <v>-0.54630000000000001</v>
      </c>
      <c r="I34" s="1">
        <v>6.9999999999999999E-4</v>
      </c>
      <c r="J34" s="1">
        <v>3.1219999999999999</v>
      </c>
      <c r="K34" s="1">
        <v>3.5823</v>
      </c>
      <c r="L34" s="1">
        <v>2.0329000000000002</v>
      </c>
      <c r="M34" s="1">
        <v>-55.1</v>
      </c>
      <c r="N34" s="1">
        <v>1</v>
      </c>
      <c r="O34" s="1">
        <v>2.4639000000000002</v>
      </c>
      <c r="P34" s="1">
        <v>0.89590000000000003</v>
      </c>
      <c r="Q34" s="1">
        <v>0.4879</v>
      </c>
      <c r="R34" s="1">
        <v>-0.62209999999999999</v>
      </c>
      <c r="S34" s="1">
        <v>2.2000000000000001E-3</v>
      </c>
      <c r="T34" s="1">
        <v>1.2403999999999999</v>
      </c>
      <c r="U34" s="1">
        <v>2.5068999999999999</v>
      </c>
      <c r="V34" s="1">
        <v>1.8626</v>
      </c>
      <c r="W34" s="1">
        <v>100.4</v>
      </c>
      <c r="X34" s="1">
        <v>1</v>
      </c>
      <c r="Y34" s="1">
        <v>1.5421</v>
      </c>
      <c r="AB34" s="1">
        <v>-0.85699999999999998</v>
      </c>
      <c r="AC34" s="1">
        <v>0.1573</v>
      </c>
      <c r="AD34" s="1">
        <v>3.3990999999999998</v>
      </c>
      <c r="AE34" s="1">
        <v>4.734</v>
      </c>
      <c r="AF34" s="1">
        <v>2.2176</v>
      </c>
    </row>
    <row r="35" spans="1:32" s="1" customFormat="1" ht="11.25" x14ac:dyDescent="0.2">
      <c r="A35" s="1">
        <v>17</v>
      </c>
      <c r="B35" s="1">
        <v>1</v>
      </c>
      <c r="C35" s="1">
        <v>25</v>
      </c>
      <c r="D35" s="1">
        <v>1</v>
      </c>
      <c r="E35" s="1">
        <v>1.9209000000000001</v>
      </c>
      <c r="F35" s="1">
        <v>0.77939999999999998</v>
      </c>
      <c r="G35" s="1">
        <v>0.3745</v>
      </c>
      <c r="H35" s="1">
        <v>-0.60229999999999995</v>
      </c>
      <c r="I35" s="1">
        <v>2.9999999999999997E-4</v>
      </c>
      <c r="J35" s="1">
        <v>2.8704000000000001</v>
      </c>
      <c r="K35" s="1">
        <v>3.6059999999999999</v>
      </c>
      <c r="L35" s="1">
        <v>2.1682999999999999</v>
      </c>
      <c r="M35" s="1">
        <v>-54.9</v>
      </c>
      <c r="N35" s="1">
        <v>1</v>
      </c>
      <c r="O35" s="1">
        <v>2.3006000000000002</v>
      </c>
      <c r="P35" s="1">
        <v>0.89329999999999998</v>
      </c>
      <c r="Q35" s="1">
        <v>0.45429999999999998</v>
      </c>
      <c r="R35" s="1">
        <v>-0.61050000000000004</v>
      </c>
      <c r="S35" s="1">
        <v>2.8999999999999998E-3</v>
      </c>
      <c r="T35" s="1">
        <v>1.2753000000000001</v>
      </c>
      <c r="U35" s="1">
        <v>2.6211000000000002</v>
      </c>
      <c r="V35" s="1">
        <v>2.0003000000000002</v>
      </c>
      <c r="W35" s="1">
        <v>100.3</v>
      </c>
      <c r="X35" s="1">
        <v>1</v>
      </c>
      <c r="Y35" s="1">
        <v>1.4952000000000001</v>
      </c>
      <c r="AB35" s="1">
        <v>-0.83560000000000001</v>
      </c>
      <c r="AC35" s="1">
        <v>0.12130000000000001</v>
      </c>
      <c r="AD35" s="1">
        <v>3.2604000000000002</v>
      </c>
      <c r="AE35" s="1">
        <v>4.7647000000000004</v>
      </c>
      <c r="AF35" s="1">
        <v>2.3370000000000002</v>
      </c>
    </row>
    <row r="36" spans="1:32" s="1" customFormat="1" ht="11.25" x14ac:dyDescent="0.2">
      <c r="A36" s="1">
        <v>18</v>
      </c>
      <c r="B36" s="1">
        <v>1</v>
      </c>
      <c r="C36" s="1">
        <v>25</v>
      </c>
      <c r="D36" s="1">
        <v>1</v>
      </c>
      <c r="E36" s="1">
        <v>2.0731999999999999</v>
      </c>
      <c r="F36" s="1">
        <v>0.78220000000000001</v>
      </c>
      <c r="G36" s="1">
        <v>0.36880000000000002</v>
      </c>
      <c r="H36" s="1">
        <v>-0.4874</v>
      </c>
      <c r="I36" s="1">
        <v>1E-3</v>
      </c>
      <c r="J36" s="1">
        <v>2.9007000000000001</v>
      </c>
      <c r="K36" s="1">
        <v>3.5861000000000001</v>
      </c>
      <c r="L36" s="1">
        <v>1.9522999999999999</v>
      </c>
      <c r="M36" s="1">
        <v>-55.3</v>
      </c>
      <c r="N36" s="1">
        <v>1</v>
      </c>
      <c r="O36" s="1">
        <v>2.5158999999999998</v>
      </c>
      <c r="P36" s="1">
        <v>0.8972</v>
      </c>
      <c r="Q36" s="1">
        <v>0.54969999999999997</v>
      </c>
      <c r="R36" s="1">
        <v>-0.59870000000000001</v>
      </c>
      <c r="S36" s="1">
        <v>1.9E-3</v>
      </c>
      <c r="T36" s="1">
        <v>1.2730999999999999</v>
      </c>
      <c r="U36" s="1">
        <v>2.5055000000000001</v>
      </c>
      <c r="V36" s="1">
        <v>1.7867999999999999</v>
      </c>
      <c r="W36" s="1">
        <v>100.5</v>
      </c>
      <c r="X36" s="1">
        <v>1</v>
      </c>
      <c r="Y36" s="1">
        <v>1.5761000000000001</v>
      </c>
      <c r="AB36" s="1">
        <v>-0.61909999999999998</v>
      </c>
      <c r="AC36" s="1">
        <v>0.14530000000000001</v>
      </c>
      <c r="AD36" s="1">
        <v>3.2565</v>
      </c>
      <c r="AE36" s="1">
        <v>4.7031000000000001</v>
      </c>
      <c r="AF36" s="1">
        <v>2.1063000000000001</v>
      </c>
    </row>
    <row r="37" spans="1:32" s="1" customFormat="1" ht="11.25" x14ac:dyDescent="0.2">
      <c r="A37" s="1">
        <v>20</v>
      </c>
      <c r="B37" s="1">
        <v>1</v>
      </c>
      <c r="C37" s="1">
        <v>25</v>
      </c>
      <c r="D37" s="1">
        <v>1</v>
      </c>
      <c r="E37" s="1">
        <v>2.0184000000000002</v>
      </c>
      <c r="F37" s="1">
        <v>0.77969999999999995</v>
      </c>
      <c r="G37" s="1">
        <v>0.51400000000000001</v>
      </c>
      <c r="H37" s="1">
        <v>-0.48110000000000003</v>
      </c>
      <c r="I37" s="1">
        <v>8.0000000000000004E-4</v>
      </c>
      <c r="J37" s="1">
        <v>2.9704999999999999</v>
      </c>
      <c r="K37" s="1">
        <v>3.5667</v>
      </c>
      <c r="L37" s="1">
        <v>2.1463000000000001</v>
      </c>
      <c r="M37" s="1">
        <v>-55.1</v>
      </c>
      <c r="N37" s="1">
        <v>1</v>
      </c>
      <c r="O37" s="1">
        <v>2.4445999999999999</v>
      </c>
      <c r="P37" s="1">
        <v>0.89570000000000005</v>
      </c>
      <c r="Q37" s="1">
        <v>0.53779999999999994</v>
      </c>
      <c r="R37" s="1">
        <v>-0.5887</v>
      </c>
      <c r="S37" s="1">
        <v>3.8E-3</v>
      </c>
      <c r="T37" s="1">
        <v>1.4033</v>
      </c>
      <c r="U37" s="1">
        <v>2.4784999999999999</v>
      </c>
      <c r="V37" s="1">
        <v>1.9781</v>
      </c>
      <c r="W37" s="1">
        <v>100.5</v>
      </c>
      <c r="X37" s="1">
        <v>1</v>
      </c>
      <c r="Y37" s="1">
        <v>1.5225</v>
      </c>
      <c r="AB37" s="1">
        <v>-0.66449999999999998</v>
      </c>
      <c r="AC37" s="1">
        <v>0.1636</v>
      </c>
      <c r="AD37" s="1">
        <v>3.2431000000000001</v>
      </c>
      <c r="AE37" s="1">
        <v>4.7064000000000004</v>
      </c>
      <c r="AF37" s="1">
        <v>2.3241000000000001</v>
      </c>
    </row>
    <row r="38" spans="1:32" s="1" customFormat="1" ht="11.25" x14ac:dyDescent="0.2">
      <c r="A38" s="1">
        <v>21</v>
      </c>
      <c r="B38" s="1">
        <v>1</v>
      </c>
      <c r="C38" s="1">
        <v>25</v>
      </c>
      <c r="D38" s="1">
        <v>1</v>
      </c>
      <c r="E38" s="1">
        <v>2.1110000000000002</v>
      </c>
      <c r="F38" s="1">
        <v>0.78490000000000004</v>
      </c>
      <c r="G38" s="1">
        <v>0.39560000000000001</v>
      </c>
      <c r="H38" s="1">
        <v>-0.4395</v>
      </c>
      <c r="I38" s="1">
        <v>8.9999999999999998E-4</v>
      </c>
      <c r="J38" s="1">
        <v>2.8607999999999998</v>
      </c>
      <c r="K38" s="1">
        <v>3.6286999999999998</v>
      </c>
      <c r="L38" s="1">
        <v>1.8033999999999999</v>
      </c>
      <c r="M38" s="1">
        <v>-55.1</v>
      </c>
      <c r="N38" s="1">
        <v>1</v>
      </c>
      <c r="O38" s="1">
        <v>2.5653999999999999</v>
      </c>
      <c r="P38" s="1">
        <v>0.89880000000000004</v>
      </c>
      <c r="Q38" s="1">
        <v>0.37530000000000002</v>
      </c>
      <c r="R38" s="1">
        <v>-0.37159999999999999</v>
      </c>
      <c r="S38" s="1">
        <v>3.0999999999999999E-3</v>
      </c>
      <c r="T38" s="1">
        <v>1.4225000000000001</v>
      </c>
      <c r="U38" s="1">
        <v>2.6156000000000001</v>
      </c>
      <c r="V38" s="1">
        <v>1.6435</v>
      </c>
      <c r="W38" s="1">
        <v>100.5</v>
      </c>
      <c r="X38" s="1">
        <v>1</v>
      </c>
      <c r="Y38" s="1">
        <v>1.5972999999999999</v>
      </c>
      <c r="AB38" s="1">
        <v>-0.62509999999999999</v>
      </c>
      <c r="AC38" s="1">
        <v>0.16769999999999999</v>
      </c>
      <c r="AD38" s="1">
        <v>3.4352999999999998</v>
      </c>
      <c r="AE38" s="1">
        <v>4.8920000000000003</v>
      </c>
      <c r="AF38" s="1">
        <v>1.9661</v>
      </c>
    </row>
    <row r="39" spans="1:32" s="1" customFormat="1" ht="11.25" x14ac:dyDescent="0.2">
      <c r="A39" s="1">
        <v>22</v>
      </c>
      <c r="B39" s="1">
        <v>1</v>
      </c>
      <c r="C39" s="1">
        <v>25</v>
      </c>
      <c r="D39" s="1">
        <v>1</v>
      </c>
      <c r="E39" s="1">
        <v>2.0022000000000002</v>
      </c>
      <c r="F39" s="1">
        <v>0.77890000000000004</v>
      </c>
      <c r="G39" s="1">
        <v>0.53459999999999996</v>
      </c>
      <c r="H39" s="1">
        <v>-0.6401</v>
      </c>
      <c r="I39" s="1">
        <v>6.9999999999999999E-4</v>
      </c>
      <c r="J39" s="1">
        <v>2.8807</v>
      </c>
      <c r="K39" s="1">
        <v>3.5474999999999999</v>
      </c>
      <c r="L39" s="1">
        <v>2.0851999999999999</v>
      </c>
      <c r="M39" s="1">
        <v>-55.1</v>
      </c>
      <c r="N39" s="1">
        <v>1</v>
      </c>
      <c r="O39" s="1">
        <v>2.4104999999999999</v>
      </c>
      <c r="P39" s="1">
        <v>0.89270000000000005</v>
      </c>
      <c r="Q39" s="1">
        <v>0.33479999999999999</v>
      </c>
      <c r="R39" s="1">
        <v>-0.48959999999999998</v>
      </c>
      <c r="S39" s="1">
        <v>3.0999999999999999E-3</v>
      </c>
      <c r="T39" s="1">
        <v>1.2163999999999999</v>
      </c>
      <c r="U39" s="1">
        <v>2.496</v>
      </c>
      <c r="V39" s="1">
        <v>1.849</v>
      </c>
      <c r="W39" s="1">
        <v>100.5</v>
      </c>
      <c r="X39" s="1">
        <v>1</v>
      </c>
      <c r="Y39" s="1">
        <v>1.5429999999999999</v>
      </c>
      <c r="AB39" s="1">
        <v>-0.68459999999999999</v>
      </c>
      <c r="AC39" s="1">
        <v>0.1308</v>
      </c>
      <c r="AD39" s="1">
        <v>3.3016000000000001</v>
      </c>
      <c r="AE39" s="1">
        <v>4.6654</v>
      </c>
      <c r="AF39" s="1">
        <v>2.2652999999999999</v>
      </c>
    </row>
    <row r="40" spans="1:32" s="1" customFormat="1" ht="11.25" x14ac:dyDescent="0.2">
      <c r="A40" s="1">
        <v>23</v>
      </c>
      <c r="B40" s="1">
        <v>1</v>
      </c>
      <c r="C40" s="1">
        <v>25</v>
      </c>
      <c r="D40" s="1">
        <v>1</v>
      </c>
      <c r="E40" s="1">
        <v>2.0823</v>
      </c>
      <c r="F40" s="1">
        <v>0.78149999999999997</v>
      </c>
      <c r="G40" s="1">
        <v>0.55810000000000004</v>
      </c>
      <c r="H40" s="1">
        <v>-0.59409999999999996</v>
      </c>
      <c r="I40" s="1">
        <v>1.1000000000000001E-3</v>
      </c>
      <c r="J40" s="1">
        <v>2.8313000000000001</v>
      </c>
      <c r="K40" s="1">
        <v>3.5594999999999999</v>
      </c>
      <c r="L40" s="1">
        <v>1.9366000000000001</v>
      </c>
      <c r="M40" s="1">
        <v>-55.3</v>
      </c>
      <c r="N40" s="1">
        <v>1</v>
      </c>
      <c r="O40" s="1">
        <v>2.5087999999999999</v>
      </c>
      <c r="P40" s="1">
        <v>0.89539999999999997</v>
      </c>
      <c r="Q40" s="1">
        <v>0.41699999999999998</v>
      </c>
      <c r="R40" s="1">
        <v>-0.58220000000000005</v>
      </c>
      <c r="S40" s="1">
        <v>2.5000000000000001E-3</v>
      </c>
      <c r="T40" s="1">
        <v>1.2842</v>
      </c>
      <c r="U40" s="1">
        <v>2.5099</v>
      </c>
      <c r="V40" s="1">
        <v>1.7708999999999999</v>
      </c>
      <c r="W40" s="1">
        <v>100.7</v>
      </c>
      <c r="X40" s="1">
        <v>1</v>
      </c>
      <c r="Y40" s="1">
        <v>1.6005</v>
      </c>
      <c r="AB40" s="1">
        <v>-0.67520000000000002</v>
      </c>
      <c r="AC40" s="1">
        <v>0.13800000000000001</v>
      </c>
      <c r="AD40" s="1">
        <v>3.2930999999999999</v>
      </c>
      <c r="AE40" s="1">
        <v>4.7582000000000004</v>
      </c>
      <c r="AF40" s="1">
        <v>2.1168</v>
      </c>
    </row>
    <row r="41" spans="1:32" s="1" customFormat="1" ht="11.25" x14ac:dyDescent="0.2">
      <c r="A41" s="1">
        <v>24</v>
      </c>
      <c r="B41" s="1">
        <v>1</v>
      </c>
      <c r="C41" s="1">
        <v>25</v>
      </c>
      <c r="D41" s="1">
        <v>1</v>
      </c>
      <c r="E41" s="1">
        <v>2.0449000000000002</v>
      </c>
      <c r="F41" s="1">
        <v>0.77729999999999999</v>
      </c>
      <c r="G41" s="1">
        <v>0.44690000000000002</v>
      </c>
      <c r="H41" s="1">
        <v>-0.61960000000000004</v>
      </c>
      <c r="I41" s="1">
        <v>6.9999999999999999E-4</v>
      </c>
      <c r="J41" s="1">
        <v>2.8488000000000002</v>
      </c>
      <c r="K41" s="1">
        <v>3.5482999999999998</v>
      </c>
      <c r="L41" s="1">
        <v>2.2242000000000002</v>
      </c>
      <c r="M41" s="1">
        <v>-55.1</v>
      </c>
      <c r="N41" s="1">
        <v>1</v>
      </c>
      <c r="O41" s="1">
        <v>2.4613</v>
      </c>
      <c r="P41" s="1">
        <v>0.89159999999999995</v>
      </c>
      <c r="Q41" s="1">
        <v>0.51480000000000004</v>
      </c>
      <c r="R41" s="1">
        <v>-0.49270000000000003</v>
      </c>
      <c r="S41" s="1">
        <v>2.8E-3</v>
      </c>
      <c r="T41" s="1">
        <v>1.2108000000000001</v>
      </c>
      <c r="U41" s="1">
        <v>2.5341</v>
      </c>
      <c r="V41" s="1">
        <v>2.0527000000000002</v>
      </c>
      <c r="W41" s="1">
        <v>100.8</v>
      </c>
      <c r="X41" s="1">
        <v>1</v>
      </c>
      <c r="Y41" s="1">
        <v>1.5501</v>
      </c>
      <c r="AB41" s="1">
        <v>-0.78059999999999996</v>
      </c>
      <c r="AC41" s="1">
        <v>0.16139999999999999</v>
      </c>
      <c r="AD41" s="1">
        <v>3.2871999999999999</v>
      </c>
      <c r="AE41" s="1">
        <v>4.7485999999999997</v>
      </c>
      <c r="AF41" s="1">
        <v>2.4070999999999998</v>
      </c>
    </row>
    <row r="42" spans="1:32" s="1" customFormat="1" ht="11.25" x14ac:dyDescent="0.2">
      <c r="A42" s="1">
        <v>25</v>
      </c>
      <c r="B42" s="1">
        <v>1</v>
      </c>
      <c r="C42" s="1">
        <v>25.1</v>
      </c>
      <c r="D42" s="1">
        <v>1</v>
      </c>
      <c r="E42" s="1">
        <v>1.9341999999999999</v>
      </c>
      <c r="F42" s="1">
        <v>0.77649999999999997</v>
      </c>
      <c r="G42" s="1">
        <v>0.56989999999999996</v>
      </c>
      <c r="H42" s="1">
        <v>-0.63690000000000002</v>
      </c>
      <c r="I42" s="1">
        <v>5.9999999999999995E-4</v>
      </c>
      <c r="J42" s="1">
        <v>3.0030000000000001</v>
      </c>
      <c r="K42" s="1">
        <v>3.5712999999999999</v>
      </c>
      <c r="L42" s="1">
        <v>2.2915999999999999</v>
      </c>
      <c r="M42" s="1">
        <v>-55.3</v>
      </c>
      <c r="N42" s="1">
        <v>1</v>
      </c>
      <c r="O42" s="1">
        <v>2.3388</v>
      </c>
      <c r="P42" s="1">
        <v>0.89419999999999999</v>
      </c>
      <c r="Q42" s="1">
        <v>0.52429999999999999</v>
      </c>
      <c r="R42" s="1">
        <v>-0.57430000000000003</v>
      </c>
      <c r="S42" s="1">
        <v>3.8999999999999998E-3</v>
      </c>
      <c r="T42" s="1">
        <v>1.2438</v>
      </c>
      <c r="U42" s="1">
        <v>2.5074000000000001</v>
      </c>
      <c r="V42" s="1">
        <v>2.1185</v>
      </c>
      <c r="W42" s="1">
        <v>100.6</v>
      </c>
      <c r="X42" s="1">
        <v>1</v>
      </c>
      <c r="Y42" s="1">
        <v>1.4579</v>
      </c>
      <c r="AB42" s="1">
        <v>-0.79630000000000001</v>
      </c>
      <c r="AC42" s="1">
        <v>0.17169999999999999</v>
      </c>
      <c r="AD42" s="1">
        <v>3.3307000000000002</v>
      </c>
      <c r="AE42" s="1">
        <v>4.7068000000000003</v>
      </c>
      <c r="AF42" s="1">
        <v>2.4719000000000002</v>
      </c>
    </row>
    <row r="43" spans="1:32" s="1" customFormat="1" ht="11.25" x14ac:dyDescent="0.2">
      <c r="A43" s="1">
        <v>26</v>
      </c>
      <c r="B43" s="1">
        <v>1</v>
      </c>
      <c r="C43" s="1">
        <v>25</v>
      </c>
      <c r="D43" s="1">
        <v>1</v>
      </c>
      <c r="E43" s="1">
        <v>1.9312</v>
      </c>
      <c r="F43" s="1">
        <v>0.77459999999999996</v>
      </c>
      <c r="G43" s="1">
        <v>0.42709999999999998</v>
      </c>
      <c r="H43" s="1">
        <v>-0.60470000000000002</v>
      </c>
      <c r="I43" s="1">
        <v>8.0000000000000004E-4</v>
      </c>
      <c r="J43" s="1">
        <v>2.8913000000000002</v>
      </c>
      <c r="K43" s="1">
        <v>3.5270000000000001</v>
      </c>
      <c r="L43" s="1">
        <v>2.2822</v>
      </c>
      <c r="M43" s="1">
        <v>-55.2</v>
      </c>
      <c r="N43" s="1">
        <v>1</v>
      </c>
      <c r="O43" s="1">
        <v>2.3355000000000001</v>
      </c>
      <c r="P43" s="1">
        <v>0.8901</v>
      </c>
      <c r="Q43" s="1">
        <v>0.31169999999999998</v>
      </c>
      <c r="R43" s="1">
        <v>-0.37619999999999998</v>
      </c>
      <c r="S43" s="1">
        <v>3.3E-3</v>
      </c>
      <c r="T43" s="1">
        <v>1.3587</v>
      </c>
      <c r="U43" s="1">
        <v>2.4944999999999999</v>
      </c>
      <c r="V43" s="1">
        <v>2.1095000000000002</v>
      </c>
      <c r="W43" s="1">
        <v>100.5</v>
      </c>
      <c r="X43" s="1">
        <v>1</v>
      </c>
      <c r="Y43" s="1">
        <v>1.4626999999999999</v>
      </c>
      <c r="AB43" s="1">
        <v>-0.83179999999999998</v>
      </c>
      <c r="AC43" s="1">
        <v>0.1552</v>
      </c>
      <c r="AD43" s="1">
        <v>3.3283999999999998</v>
      </c>
      <c r="AE43" s="1">
        <v>4.6646000000000001</v>
      </c>
      <c r="AF43" s="1">
        <v>2.4679000000000002</v>
      </c>
    </row>
    <row r="44" spans="1:32" s="1" customFormat="1" ht="11.25" x14ac:dyDescent="0.2">
      <c r="A44" s="1">
        <v>27</v>
      </c>
      <c r="B44" s="1">
        <v>1</v>
      </c>
      <c r="C44" s="1">
        <v>25</v>
      </c>
      <c r="D44" s="1">
        <v>1</v>
      </c>
      <c r="E44" s="1">
        <v>2.1061000000000001</v>
      </c>
      <c r="F44" s="1">
        <v>0.78010000000000002</v>
      </c>
      <c r="G44" s="1">
        <v>0.57689999999999997</v>
      </c>
      <c r="H44" s="1">
        <v>-0.64959999999999996</v>
      </c>
      <c r="I44" s="1">
        <v>8.0000000000000004E-4</v>
      </c>
      <c r="J44" s="1">
        <v>2.7052999999999998</v>
      </c>
      <c r="K44" s="1">
        <v>3.4422000000000001</v>
      </c>
      <c r="L44" s="1">
        <v>1.8733</v>
      </c>
      <c r="M44" s="1">
        <v>-55.1</v>
      </c>
      <c r="N44" s="1">
        <v>1</v>
      </c>
      <c r="O44" s="1">
        <v>2.5537999999999998</v>
      </c>
      <c r="P44" s="1">
        <v>0.89729999999999999</v>
      </c>
      <c r="Q44" s="1">
        <v>0.51729999999999998</v>
      </c>
      <c r="R44" s="1">
        <v>-0.5867</v>
      </c>
      <c r="S44" s="1">
        <v>3.5999999999999999E-3</v>
      </c>
      <c r="T44" s="1">
        <v>1.0935999999999999</v>
      </c>
      <c r="U44" s="1">
        <v>2.4376000000000002</v>
      </c>
      <c r="V44" s="1">
        <v>1.7081999999999999</v>
      </c>
      <c r="W44" s="1">
        <v>100.7</v>
      </c>
      <c r="X44" s="1">
        <v>1</v>
      </c>
      <c r="Y44" s="1">
        <v>1.5861000000000001</v>
      </c>
      <c r="AB44" s="1">
        <v>-0.84150000000000003</v>
      </c>
      <c r="AC44" s="1">
        <v>0.18260000000000001</v>
      </c>
      <c r="AD44" s="1">
        <v>2.9977999999999998</v>
      </c>
      <c r="AE44" s="1">
        <v>4.5812999999999997</v>
      </c>
      <c r="AF44" s="1">
        <v>2.0447000000000002</v>
      </c>
    </row>
    <row r="45" spans="1:32" s="1" customFormat="1" ht="11.25" x14ac:dyDescent="0.2">
      <c r="A45" s="1">
        <v>28</v>
      </c>
      <c r="B45" s="1">
        <v>1</v>
      </c>
      <c r="C45" s="1">
        <v>25</v>
      </c>
      <c r="D45" s="1">
        <v>1</v>
      </c>
      <c r="E45" s="1">
        <v>2.0185</v>
      </c>
      <c r="F45" s="1">
        <v>0.78010000000000002</v>
      </c>
      <c r="G45" s="1">
        <v>0.58650000000000002</v>
      </c>
      <c r="H45" s="1">
        <v>-0.63290000000000002</v>
      </c>
      <c r="I45" s="1">
        <v>4.0000000000000002E-4</v>
      </c>
      <c r="J45" s="1">
        <v>2.9554999999999998</v>
      </c>
      <c r="K45" s="1">
        <v>3.6377999999999999</v>
      </c>
      <c r="L45" s="1">
        <v>2.0865999999999998</v>
      </c>
      <c r="M45" s="1">
        <v>-55.3</v>
      </c>
      <c r="N45" s="1">
        <v>1</v>
      </c>
      <c r="O45" s="1">
        <v>2.4367000000000001</v>
      </c>
      <c r="P45" s="1">
        <v>0.89700000000000002</v>
      </c>
      <c r="Q45" s="1">
        <v>0.51200000000000001</v>
      </c>
      <c r="R45" s="1">
        <v>-0.46450000000000002</v>
      </c>
      <c r="S45" s="1">
        <v>3.7000000000000002E-3</v>
      </c>
      <c r="T45" s="1">
        <v>1.3977999999999999</v>
      </c>
      <c r="U45" s="1">
        <v>2.5823999999999998</v>
      </c>
      <c r="V45" s="1">
        <v>1.9147000000000001</v>
      </c>
      <c r="W45" s="1">
        <v>100.6</v>
      </c>
      <c r="X45" s="1">
        <v>1</v>
      </c>
      <c r="Y45" s="1">
        <v>1.528</v>
      </c>
      <c r="AB45" s="1">
        <v>-0.6341</v>
      </c>
      <c r="AC45" s="1">
        <v>0.17460000000000001</v>
      </c>
      <c r="AD45" s="1">
        <v>3.4552999999999998</v>
      </c>
      <c r="AE45" s="1">
        <v>4.8137999999999996</v>
      </c>
      <c r="AF45" s="1">
        <v>2.2631000000000001</v>
      </c>
    </row>
    <row r="46" spans="1:32" s="1" customFormat="1" ht="11.25" x14ac:dyDescent="0.2">
      <c r="A46" s="1">
        <v>29</v>
      </c>
      <c r="B46" s="1">
        <v>1</v>
      </c>
      <c r="C46" s="1">
        <v>24.9</v>
      </c>
      <c r="D46" s="1">
        <v>1</v>
      </c>
      <c r="E46" s="1">
        <v>2.0005000000000002</v>
      </c>
      <c r="F46" s="1">
        <v>0.77769999999999995</v>
      </c>
      <c r="G46" s="1">
        <v>0.5081</v>
      </c>
      <c r="H46" s="1">
        <v>-0.66390000000000005</v>
      </c>
      <c r="I46" s="1">
        <v>6.9999999999999999E-4</v>
      </c>
      <c r="J46" s="1">
        <v>2.8212000000000002</v>
      </c>
      <c r="K46" s="1">
        <v>3.577</v>
      </c>
      <c r="L46" s="1">
        <v>2.1423999999999999</v>
      </c>
      <c r="M46" s="1">
        <v>-55</v>
      </c>
      <c r="N46" s="1">
        <v>1</v>
      </c>
      <c r="O46" s="1">
        <v>2.4176000000000002</v>
      </c>
      <c r="P46" s="1">
        <v>0.89370000000000005</v>
      </c>
      <c r="Q46" s="1">
        <v>0.28439999999999999</v>
      </c>
      <c r="R46" s="1">
        <v>-0.41830000000000001</v>
      </c>
      <c r="S46" s="1">
        <v>3.8E-3</v>
      </c>
      <c r="T46" s="1">
        <v>1.3795999999999999</v>
      </c>
      <c r="U46" s="1">
        <v>2.5213999999999999</v>
      </c>
      <c r="V46" s="1">
        <v>1.9673</v>
      </c>
      <c r="W46" s="1">
        <v>100.6</v>
      </c>
      <c r="X46" s="1">
        <v>1</v>
      </c>
      <c r="Y46" s="1">
        <v>1.5105999999999999</v>
      </c>
      <c r="AB46" s="1">
        <v>-0.61550000000000005</v>
      </c>
      <c r="AC46" s="1">
        <v>0.17730000000000001</v>
      </c>
      <c r="AD46" s="1">
        <v>3.2677999999999998</v>
      </c>
      <c r="AE46" s="1">
        <v>4.7643000000000004</v>
      </c>
      <c r="AF46" s="1">
        <v>2.3235000000000001</v>
      </c>
    </row>
    <row r="47" spans="1:32" s="1" customFormat="1" ht="11.25" x14ac:dyDescent="0.2">
      <c r="A47" s="1">
        <v>30</v>
      </c>
      <c r="B47" s="1">
        <v>1</v>
      </c>
      <c r="C47" s="1">
        <v>25</v>
      </c>
      <c r="D47" s="1">
        <v>1</v>
      </c>
      <c r="E47" s="1">
        <v>1.9416</v>
      </c>
      <c r="F47" s="1">
        <v>0.7772</v>
      </c>
      <c r="G47" s="1">
        <v>0.55430000000000001</v>
      </c>
      <c r="H47" s="1">
        <v>-0.56579999999999997</v>
      </c>
      <c r="I47" s="1">
        <v>8.0000000000000004E-4</v>
      </c>
      <c r="J47" s="1">
        <v>3.0874999999999999</v>
      </c>
      <c r="K47" s="1">
        <v>3.5377999999999998</v>
      </c>
      <c r="L47" s="1">
        <v>2.2595000000000001</v>
      </c>
      <c r="M47" s="1">
        <v>-55.2</v>
      </c>
      <c r="N47" s="1">
        <v>1</v>
      </c>
      <c r="O47" s="1">
        <v>2.3449</v>
      </c>
      <c r="P47" s="1">
        <v>0.89</v>
      </c>
      <c r="Q47" s="1">
        <v>0.45879999999999999</v>
      </c>
      <c r="R47" s="1">
        <v>-0.39860000000000001</v>
      </c>
      <c r="S47" s="1">
        <v>2.8999999999999998E-3</v>
      </c>
      <c r="T47" s="1">
        <v>1.2745</v>
      </c>
      <c r="U47" s="1">
        <v>2.4975000000000001</v>
      </c>
      <c r="V47" s="1">
        <v>2.0926999999999998</v>
      </c>
      <c r="W47" s="1">
        <v>100.9</v>
      </c>
      <c r="X47" s="1">
        <v>1</v>
      </c>
      <c r="Y47" s="1">
        <v>1.4986999999999999</v>
      </c>
      <c r="AB47" s="1">
        <v>-0.78029999999999999</v>
      </c>
      <c r="AC47" s="1">
        <v>0.11260000000000001</v>
      </c>
      <c r="AD47" s="1">
        <v>3.2440000000000002</v>
      </c>
      <c r="AE47" s="1">
        <v>4.6607000000000003</v>
      </c>
      <c r="AF47" s="1">
        <v>2.4281999999999999</v>
      </c>
    </row>
    <row r="48" spans="1:32" s="1" customFormat="1" ht="11.25" x14ac:dyDescent="0.2">
      <c r="A48" s="1">
        <v>31</v>
      </c>
      <c r="B48" s="1">
        <v>1</v>
      </c>
      <c r="C48" s="1">
        <v>25.1</v>
      </c>
      <c r="D48" s="1">
        <v>1</v>
      </c>
      <c r="E48" s="1">
        <v>1.9818</v>
      </c>
      <c r="F48" s="1">
        <v>0.78669999999999995</v>
      </c>
      <c r="G48" s="1">
        <v>0.57899999999999996</v>
      </c>
      <c r="H48" s="1">
        <v>-0.60540000000000005</v>
      </c>
      <c r="I48" s="1">
        <v>8.0000000000000004E-4</v>
      </c>
      <c r="J48" s="1">
        <v>2.8334999999999999</v>
      </c>
      <c r="K48" s="1">
        <v>3.9845999999999999</v>
      </c>
      <c r="L48" s="1">
        <v>1.8373999999999999</v>
      </c>
      <c r="M48" s="1">
        <v>-55.3</v>
      </c>
      <c r="N48" s="1">
        <v>1</v>
      </c>
      <c r="O48" s="1">
        <v>2.3509000000000002</v>
      </c>
      <c r="P48" s="1">
        <v>0.89390000000000003</v>
      </c>
      <c r="Q48" s="1">
        <v>0.49669999999999997</v>
      </c>
      <c r="R48" s="1">
        <v>-0.5736</v>
      </c>
      <c r="S48" s="1">
        <v>3.5999999999999999E-3</v>
      </c>
      <c r="T48" s="1">
        <v>1.383</v>
      </c>
      <c r="U48" s="1">
        <v>2.9790000000000001</v>
      </c>
      <c r="V48" s="1">
        <v>1.6853</v>
      </c>
      <c r="W48" s="1">
        <v>101</v>
      </c>
      <c r="X48" s="1">
        <v>1</v>
      </c>
      <c r="Y48" s="1">
        <v>1.5948</v>
      </c>
      <c r="AB48" s="1">
        <v>-0.86760000000000004</v>
      </c>
      <c r="AC48" s="1">
        <v>7.8399999999999997E-2</v>
      </c>
      <c r="AD48" s="1">
        <v>3.1358000000000001</v>
      </c>
      <c r="AE48" s="1">
        <v>4.8994999999999997</v>
      </c>
      <c r="AF48" s="1">
        <v>1.9843</v>
      </c>
    </row>
    <row r="49" spans="1:32" s="1" customFormat="1" ht="11.25" x14ac:dyDescent="0.2">
      <c r="A49" s="1">
        <v>32</v>
      </c>
      <c r="B49" s="1">
        <v>1</v>
      </c>
      <c r="C49" s="1">
        <v>25</v>
      </c>
      <c r="D49" s="1">
        <v>1</v>
      </c>
      <c r="E49" s="1">
        <v>2.0579000000000001</v>
      </c>
      <c r="F49" s="1">
        <v>0.78459999999999996</v>
      </c>
      <c r="G49" s="1">
        <v>0.34770000000000001</v>
      </c>
      <c r="H49" s="1">
        <v>-0.53910000000000002</v>
      </c>
      <c r="I49" s="1">
        <v>8.0000000000000004E-4</v>
      </c>
      <c r="J49" s="1">
        <v>2.8992</v>
      </c>
      <c r="K49" s="1">
        <v>3.5350999999999999</v>
      </c>
      <c r="L49" s="1">
        <v>1.8266</v>
      </c>
      <c r="M49" s="1">
        <v>-55.3</v>
      </c>
      <c r="N49" s="1">
        <v>1</v>
      </c>
      <c r="O49" s="1">
        <v>2.4638</v>
      </c>
      <c r="P49" s="1">
        <v>0.89349999999999996</v>
      </c>
      <c r="Q49" s="1">
        <v>0.53459999999999996</v>
      </c>
      <c r="R49" s="1">
        <v>-0.50829999999999997</v>
      </c>
      <c r="S49" s="1">
        <v>2.8E-3</v>
      </c>
      <c r="T49" s="1">
        <v>1.3302</v>
      </c>
      <c r="U49" s="1">
        <v>2.4887000000000001</v>
      </c>
      <c r="V49" s="1">
        <v>1.6714</v>
      </c>
      <c r="W49" s="1">
        <v>100.7</v>
      </c>
      <c r="X49" s="1">
        <v>1</v>
      </c>
      <c r="Y49" s="1">
        <v>1.6224000000000001</v>
      </c>
      <c r="AB49" s="1">
        <v>-0.76519999999999999</v>
      </c>
      <c r="AC49" s="1">
        <v>9.7299999999999998E-2</v>
      </c>
      <c r="AD49" s="1">
        <v>3.0404</v>
      </c>
      <c r="AE49" s="1">
        <v>4.5406000000000004</v>
      </c>
      <c r="AF49" s="1">
        <v>1.9763999999999999</v>
      </c>
    </row>
    <row r="50" spans="1:32" s="1" customFormat="1" ht="11.25" x14ac:dyDescent="0.2">
      <c r="A50" s="1">
        <v>33</v>
      </c>
      <c r="B50" s="1">
        <v>1</v>
      </c>
      <c r="C50" s="1">
        <v>25</v>
      </c>
      <c r="D50" s="1">
        <v>1</v>
      </c>
      <c r="E50" s="1">
        <v>1.9420999999999999</v>
      </c>
      <c r="F50" s="1">
        <v>0.77739999999999998</v>
      </c>
      <c r="G50" s="1">
        <v>0.56969999999999998</v>
      </c>
      <c r="H50" s="1">
        <v>-0.61070000000000002</v>
      </c>
      <c r="I50" s="1">
        <v>4.0000000000000002E-4</v>
      </c>
      <c r="J50" s="1">
        <v>2.9098000000000002</v>
      </c>
      <c r="K50" s="1">
        <v>3.5741999999999998</v>
      </c>
      <c r="L50" s="1">
        <v>2.1576</v>
      </c>
      <c r="M50" s="1">
        <v>-55.2</v>
      </c>
      <c r="N50" s="1">
        <v>1</v>
      </c>
      <c r="O50" s="1">
        <v>2.3477000000000001</v>
      </c>
      <c r="P50" s="1">
        <v>0.89290000000000003</v>
      </c>
      <c r="Q50" s="1">
        <v>0.49540000000000001</v>
      </c>
      <c r="R50" s="1">
        <v>-0.42230000000000001</v>
      </c>
      <c r="S50" s="1">
        <v>3.3E-3</v>
      </c>
      <c r="T50" s="1">
        <v>1.3385</v>
      </c>
      <c r="U50" s="1">
        <v>2.5247000000000002</v>
      </c>
      <c r="V50" s="1">
        <v>1.9797</v>
      </c>
      <c r="W50" s="1">
        <v>100.9</v>
      </c>
      <c r="X50" s="1">
        <v>1</v>
      </c>
      <c r="Y50" s="1">
        <v>1.4952000000000001</v>
      </c>
      <c r="AB50" s="1">
        <v>-0.60470000000000002</v>
      </c>
      <c r="AC50" s="1">
        <v>0.1283</v>
      </c>
      <c r="AD50" s="1">
        <v>3.3485</v>
      </c>
      <c r="AE50" s="1">
        <v>4.7130000000000001</v>
      </c>
      <c r="AF50" s="1">
        <v>2.3969</v>
      </c>
    </row>
    <row r="51" spans="1:32" s="1" customFormat="1" ht="11.25" x14ac:dyDescent="0.2">
      <c r="A51" s="1">
        <v>34</v>
      </c>
      <c r="B51" s="1">
        <v>1</v>
      </c>
      <c r="C51" s="1">
        <v>25</v>
      </c>
      <c r="D51" s="1">
        <v>1</v>
      </c>
      <c r="E51" s="1">
        <v>2.3125</v>
      </c>
      <c r="F51" s="1">
        <v>0.79259999999999997</v>
      </c>
      <c r="G51" s="1">
        <v>0.56399999999999995</v>
      </c>
      <c r="H51" s="1">
        <v>-0.57930000000000004</v>
      </c>
      <c r="I51" s="1">
        <v>8.9999999999999998E-4</v>
      </c>
      <c r="J51" s="1">
        <v>2.9123000000000001</v>
      </c>
      <c r="K51" s="1">
        <v>3.8456999999999999</v>
      </c>
      <c r="L51" s="1">
        <v>1.7001999999999999</v>
      </c>
      <c r="M51" s="1">
        <v>-55.6</v>
      </c>
      <c r="N51" s="1">
        <v>1</v>
      </c>
      <c r="O51" s="1">
        <v>2.7827000000000002</v>
      </c>
      <c r="P51" s="1">
        <v>0.90310000000000001</v>
      </c>
      <c r="Q51" s="1">
        <v>0.69679999999999997</v>
      </c>
      <c r="R51" s="1">
        <v>-0.47670000000000001</v>
      </c>
      <c r="S51" s="1">
        <v>2.7000000000000001E-3</v>
      </c>
      <c r="T51" s="1">
        <v>1.2743</v>
      </c>
      <c r="U51" s="1">
        <v>2.8761999999999999</v>
      </c>
      <c r="V51" s="1">
        <v>1.5814999999999999</v>
      </c>
      <c r="W51" s="1">
        <v>101.4</v>
      </c>
      <c r="X51" s="1">
        <v>1</v>
      </c>
      <c r="Y51" s="1">
        <v>1.8540000000000001</v>
      </c>
      <c r="AB51" s="1">
        <v>-0.58420000000000005</v>
      </c>
      <c r="AC51" s="1">
        <v>6.9199999999999998E-2</v>
      </c>
      <c r="AD51" s="1">
        <v>3.1265999999999998</v>
      </c>
      <c r="AE51" s="1">
        <v>4.8272000000000004</v>
      </c>
      <c r="AF51" s="1">
        <v>1.9558</v>
      </c>
    </row>
    <row r="52" spans="1:32" s="1" customFormat="1" ht="11.25" x14ac:dyDescent="0.2">
      <c r="A52" s="1">
        <v>35</v>
      </c>
      <c r="B52" s="1">
        <v>1</v>
      </c>
      <c r="C52" s="1">
        <v>25</v>
      </c>
      <c r="D52" s="1">
        <v>1</v>
      </c>
      <c r="E52" s="1">
        <v>1.9416</v>
      </c>
      <c r="F52" s="1">
        <v>0.77939999999999998</v>
      </c>
      <c r="G52" s="1">
        <v>0.4667</v>
      </c>
      <c r="H52" s="1">
        <v>-0.64280000000000004</v>
      </c>
      <c r="I52" s="1">
        <v>5.9999999999999995E-4</v>
      </c>
      <c r="J52" s="1">
        <v>2.7578999999999998</v>
      </c>
      <c r="K52" s="1">
        <v>3.6238999999999999</v>
      </c>
      <c r="L52" s="1">
        <v>2.2433999999999998</v>
      </c>
      <c r="M52" s="1">
        <v>-54.6</v>
      </c>
      <c r="N52" s="1">
        <v>1</v>
      </c>
      <c r="O52" s="1">
        <v>2.3245</v>
      </c>
      <c r="P52" s="1">
        <v>0.89119999999999999</v>
      </c>
      <c r="Q52" s="1">
        <v>0.35249999999999998</v>
      </c>
      <c r="R52" s="1">
        <v>-0.35199999999999998</v>
      </c>
      <c r="S52" s="1">
        <v>2.8E-3</v>
      </c>
      <c r="T52" s="1">
        <v>1.3648</v>
      </c>
      <c r="U52" s="1">
        <v>2.5459999999999998</v>
      </c>
      <c r="V52" s="1">
        <v>2.0777000000000001</v>
      </c>
      <c r="W52" s="1">
        <v>100.9</v>
      </c>
      <c r="X52" s="1">
        <v>1</v>
      </c>
      <c r="Y52" s="1">
        <v>1.5330999999999999</v>
      </c>
      <c r="AB52" s="1">
        <v>-0.79469999999999996</v>
      </c>
      <c r="AC52" s="1">
        <v>9.0700000000000003E-2</v>
      </c>
      <c r="AD52" s="1">
        <v>3.3022</v>
      </c>
      <c r="AE52" s="1">
        <v>4.7088000000000001</v>
      </c>
      <c r="AF52" s="1">
        <v>2.4068000000000001</v>
      </c>
    </row>
    <row r="53" spans="1:32" s="1" customFormat="1" ht="11.25" x14ac:dyDescent="0.2">
      <c r="A53" s="1">
        <v>36</v>
      </c>
      <c r="B53" s="1">
        <v>1</v>
      </c>
      <c r="C53" s="1">
        <v>25</v>
      </c>
      <c r="D53" s="1">
        <v>1</v>
      </c>
      <c r="E53" s="1">
        <v>2.0347</v>
      </c>
      <c r="F53" s="1">
        <v>0.7833</v>
      </c>
      <c r="G53" s="1">
        <v>0.49880000000000002</v>
      </c>
      <c r="H53" s="1">
        <v>-0.63380000000000003</v>
      </c>
      <c r="I53" s="1">
        <v>5.0000000000000001E-4</v>
      </c>
      <c r="J53" s="1">
        <v>2.8410000000000002</v>
      </c>
      <c r="K53" s="1">
        <v>3.5914999999999999</v>
      </c>
      <c r="L53" s="1">
        <v>1.9503999999999999</v>
      </c>
      <c r="M53" s="1">
        <v>-55.3</v>
      </c>
      <c r="N53" s="1">
        <v>1</v>
      </c>
      <c r="O53" s="1">
        <v>2.4176000000000002</v>
      </c>
      <c r="P53" s="1">
        <v>0.89139999999999997</v>
      </c>
      <c r="Q53" s="1">
        <v>0.39050000000000001</v>
      </c>
      <c r="R53" s="1">
        <v>-0.36399999999999999</v>
      </c>
      <c r="S53" s="1">
        <v>2.7000000000000001E-3</v>
      </c>
      <c r="T53" s="1">
        <v>1.4108000000000001</v>
      </c>
      <c r="U53" s="1">
        <v>2.5516999999999999</v>
      </c>
      <c r="V53" s="1">
        <v>1.7945</v>
      </c>
      <c r="W53" s="1">
        <v>100.8</v>
      </c>
      <c r="X53" s="1">
        <v>1</v>
      </c>
      <c r="Y53" s="1">
        <v>1.6316999999999999</v>
      </c>
      <c r="AB53" s="1">
        <v>-0.61140000000000005</v>
      </c>
      <c r="AC53" s="1">
        <v>7.8399999999999997E-2</v>
      </c>
      <c r="AD53" s="1">
        <v>3.0676999999999999</v>
      </c>
      <c r="AE53" s="1">
        <v>4.6153000000000004</v>
      </c>
      <c r="AF53" s="1">
        <v>2.1231</v>
      </c>
    </row>
    <row r="54" spans="1:32" s="1" customFormat="1" ht="11.25" x14ac:dyDescent="0.2">
      <c r="A54" s="1">
        <v>37</v>
      </c>
      <c r="B54" s="1">
        <v>1</v>
      </c>
      <c r="C54" s="1">
        <v>25</v>
      </c>
      <c r="D54" s="1">
        <v>1</v>
      </c>
      <c r="E54" s="1">
        <v>1.9429000000000001</v>
      </c>
      <c r="F54" s="1">
        <v>0.77710000000000001</v>
      </c>
      <c r="G54" s="1">
        <v>0.50470000000000004</v>
      </c>
      <c r="H54" s="1">
        <v>-0.65149999999999997</v>
      </c>
      <c r="I54" s="1">
        <v>2.9999999999999997E-4</v>
      </c>
      <c r="J54" s="1">
        <v>3.0118999999999998</v>
      </c>
      <c r="K54" s="1">
        <v>3.6223999999999998</v>
      </c>
      <c r="L54" s="1">
        <v>2.2187000000000001</v>
      </c>
      <c r="M54" s="1">
        <v>-55.4</v>
      </c>
      <c r="N54" s="1">
        <v>1</v>
      </c>
      <c r="O54" s="1">
        <v>2.3277999999999999</v>
      </c>
      <c r="P54" s="1">
        <v>0.89149999999999996</v>
      </c>
      <c r="Q54" s="1">
        <v>0.39340000000000003</v>
      </c>
      <c r="R54" s="1">
        <v>-0.56130000000000002</v>
      </c>
      <c r="S54" s="1">
        <v>4.4000000000000003E-3</v>
      </c>
      <c r="T54" s="1">
        <v>1.4298</v>
      </c>
      <c r="U54" s="1">
        <v>2.4950000000000001</v>
      </c>
      <c r="V54" s="1">
        <v>2.0489999999999999</v>
      </c>
      <c r="W54" s="1">
        <v>100.7</v>
      </c>
      <c r="X54" s="1">
        <v>1</v>
      </c>
      <c r="Y54" s="1">
        <v>1.5096000000000001</v>
      </c>
      <c r="AB54" s="1">
        <v>-0.59519999999999995</v>
      </c>
      <c r="AC54" s="1">
        <v>0.1207</v>
      </c>
      <c r="AD54" s="1">
        <v>3.3765999999999998</v>
      </c>
      <c r="AE54" s="1">
        <v>4.7544000000000004</v>
      </c>
      <c r="AF54" s="1">
        <v>2.4049</v>
      </c>
    </row>
    <row r="55" spans="1:32" s="1" customFormat="1" ht="11.25" x14ac:dyDescent="0.2">
      <c r="A55" s="1">
        <v>38</v>
      </c>
      <c r="B55" s="1">
        <v>1</v>
      </c>
      <c r="C55" s="1">
        <v>24.9</v>
      </c>
      <c r="D55" s="1">
        <v>1</v>
      </c>
      <c r="E55" s="1">
        <v>2.1709000000000001</v>
      </c>
      <c r="F55" s="1">
        <v>0.78890000000000005</v>
      </c>
      <c r="G55" s="1">
        <v>0.38379999999999997</v>
      </c>
      <c r="H55" s="1">
        <v>-0.40250000000000002</v>
      </c>
      <c r="I55" s="1">
        <v>1.1999999999999999E-3</v>
      </c>
      <c r="J55" s="1">
        <v>2.7930000000000001</v>
      </c>
      <c r="K55" s="1">
        <v>3.681</v>
      </c>
      <c r="L55" s="1">
        <v>1.7292000000000001</v>
      </c>
      <c r="M55" s="1">
        <v>-55.3</v>
      </c>
      <c r="N55" s="1">
        <v>1</v>
      </c>
      <c r="O55" s="1">
        <v>2.593</v>
      </c>
      <c r="P55" s="1">
        <v>0.89639999999999997</v>
      </c>
      <c r="Q55" s="1">
        <v>0.2858</v>
      </c>
      <c r="R55" s="1">
        <v>-0.42780000000000001</v>
      </c>
      <c r="S55" s="1">
        <v>2.5999999999999999E-3</v>
      </c>
      <c r="T55" s="1">
        <v>1.2601</v>
      </c>
      <c r="U55" s="1">
        <v>2.6751999999999998</v>
      </c>
      <c r="V55" s="1">
        <v>1.5764</v>
      </c>
      <c r="W55" s="1">
        <v>100.5</v>
      </c>
      <c r="X55" s="1">
        <v>1</v>
      </c>
      <c r="Y55" s="1">
        <v>1.7064999999999999</v>
      </c>
      <c r="AB55" s="1">
        <v>-0.75509999999999999</v>
      </c>
      <c r="AC55" s="1">
        <v>0.1095</v>
      </c>
      <c r="AD55" s="1">
        <v>3.081</v>
      </c>
      <c r="AE55" s="1">
        <v>4.7107000000000001</v>
      </c>
      <c r="AF55" s="1">
        <v>1.8787</v>
      </c>
    </row>
    <row r="56" spans="1:32" s="1" customFormat="1" ht="11.25" x14ac:dyDescent="0.2">
      <c r="A56" s="1">
        <v>39</v>
      </c>
      <c r="B56" s="1">
        <v>1</v>
      </c>
      <c r="C56" s="1">
        <v>25</v>
      </c>
      <c r="D56" s="1">
        <v>1</v>
      </c>
      <c r="E56" s="1">
        <v>1.9314</v>
      </c>
      <c r="F56" s="1">
        <v>0.78210000000000002</v>
      </c>
      <c r="G56" s="1">
        <v>0.37040000000000001</v>
      </c>
      <c r="H56" s="1">
        <v>-0.39660000000000001</v>
      </c>
      <c r="I56" s="1">
        <v>1E-3</v>
      </c>
      <c r="J56" s="1">
        <v>2.8005</v>
      </c>
      <c r="K56" s="1">
        <v>3.7122999999999999</v>
      </c>
      <c r="L56" s="1">
        <v>1.9903999999999999</v>
      </c>
      <c r="M56" s="1">
        <v>-55.5</v>
      </c>
      <c r="N56" s="1">
        <v>1</v>
      </c>
      <c r="O56" s="1">
        <v>2.3075000000000001</v>
      </c>
      <c r="P56" s="1">
        <v>0.89500000000000002</v>
      </c>
      <c r="Q56" s="1">
        <v>0.4032</v>
      </c>
      <c r="R56" s="1">
        <v>-0.34920000000000001</v>
      </c>
      <c r="S56" s="1">
        <v>2.5000000000000001E-3</v>
      </c>
      <c r="T56" s="1">
        <v>1.2574000000000001</v>
      </c>
      <c r="U56" s="1">
        <v>2.6549</v>
      </c>
      <c r="V56" s="1">
        <v>1.8278000000000001</v>
      </c>
      <c r="W56" s="1">
        <v>101</v>
      </c>
      <c r="X56" s="1">
        <v>1</v>
      </c>
      <c r="Y56" s="1">
        <v>1.5407999999999999</v>
      </c>
      <c r="AB56" s="1">
        <v>-0.67079999999999995</v>
      </c>
      <c r="AC56" s="1">
        <v>8.77E-2</v>
      </c>
      <c r="AD56" s="1">
        <v>3.2017000000000002</v>
      </c>
      <c r="AE56" s="1">
        <v>4.7058999999999997</v>
      </c>
      <c r="AF56" s="1">
        <v>2.1572</v>
      </c>
    </row>
    <row r="57" spans="1:32" s="1" customFormat="1" ht="11.25" x14ac:dyDescent="0.2">
      <c r="A57" s="1">
        <v>40</v>
      </c>
      <c r="B57" s="1">
        <v>1</v>
      </c>
      <c r="C57" s="1">
        <v>25</v>
      </c>
      <c r="D57" s="1">
        <v>1</v>
      </c>
      <c r="E57" s="1">
        <v>1.9958</v>
      </c>
      <c r="F57" s="1">
        <v>0.78939999999999999</v>
      </c>
      <c r="G57" s="1">
        <v>0.51060000000000005</v>
      </c>
      <c r="H57" s="1">
        <v>-0.63019999999999998</v>
      </c>
      <c r="I57" s="1">
        <v>6.9999999999999999E-4</v>
      </c>
      <c r="J57" s="1">
        <v>2.7927</v>
      </c>
      <c r="K57" s="1">
        <v>4.0681000000000003</v>
      </c>
      <c r="L57" s="1">
        <v>1.7677</v>
      </c>
      <c r="M57" s="1">
        <v>-55.4</v>
      </c>
      <c r="N57" s="1">
        <v>1</v>
      </c>
      <c r="O57" s="1">
        <v>2.3616000000000001</v>
      </c>
      <c r="P57" s="1">
        <v>0.89400000000000002</v>
      </c>
      <c r="Q57" s="1">
        <v>0.52339999999999998</v>
      </c>
      <c r="R57" s="1">
        <v>-0.50729999999999997</v>
      </c>
      <c r="S57" s="1">
        <v>3.8999999999999998E-3</v>
      </c>
      <c r="T57" s="1">
        <v>1.3709</v>
      </c>
      <c r="U57" s="1">
        <v>2.9956999999999998</v>
      </c>
      <c r="V57" s="1">
        <v>1.6194</v>
      </c>
      <c r="W57" s="1">
        <v>100.7</v>
      </c>
      <c r="X57" s="1">
        <v>1</v>
      </c>
      <c r="Y57" s="1">
        <v>1.6262000000000001</v>
      </c>
      <c r="AB57" s="1">
        <v>-0.64129999999999998</v>
      </c>
      <c r="AC57" s="1">
        <v>6.7400000000000002E-2</v>
      </c>
      <c r="AD57" s="1">
        <v>3.2242000000000002</v>
      </c>
      <c r="AE57" s="1">
        <v>5.0099</v>
      </c>
      <c r="AF57" s="1">
        <v>1.9076</v>
      </c>
    </row>
    <row r="58" spans="1:32" s="1" customFormat="1" ht="11.25" x14ac:dyDescent="0.2">
      <c r="A58" s="1">
        <v>41</v>
      </c>
      <c r="B58" s="1">
        <v>1</v>
      </c>
      <c r="C58" s="1">
        <v>25</v>
      </c>
      <c r="D58" s="1">
        <v>1</v>
      </c>
      <c r="E58" s="1">
        <v>2.0375000000000001</v>
      </c>
      <c r="F58" s="1">
        <v>0.77880000000000005</v>
      </c>
      <c r="G58" s="1">
        <v>0.52510000000000001</v>
      </c>
      <c r="H58" s="1">
        <v>-0.49669999999999997</v>
      </c>
      <c r="I58" s="1">
        <v>8.9999999999999998E-4</v>
      </c>
      <c r="J58" s="1">
        <v>2.7204000000000002</v>
      </c>
      <c r="K58" s="1">
        <v>3.5707</v>
      </c>
      <c r="L58" s="1">
        <v>2.2517</v>
      </c>
      <c r="M58" s="1">
        <v>-54.7</v>
      </c>
      <c r="N58" s="1">
        <v>1</v>
      </c>
      <c r="O58" s="1">
        <v>2.4558</v>
      </c>
      <c r="P58" s="1">
        <v>0.89280000000000004</v>
      </c>
      <c r="Q58" s="1">
        <v>0.57740000000000002</v>
      </c>
      <c r="R58" s="1">
        <v>-0.5786</v>
      </c>
      <c r="S58" s="1">
        <v>4.7000000000000002E-3</v>
      </c>
      <c r="T58" s="1">
        <v>1.4095</v>
      </c>
      <c r="U58" s="1">
        <v>2.5253000000000001</v>
      </c>
      <c r="V58" s="1">
        <v>2.0821999999999998</v>
      </c>
      <c r="W58" s="1">
        <v>100.8</v>
      </c>
      <c r="X58" s="1">
        <v>1</v>
      </c>
      <c r="Y58" s="1">
        <v>1.6163000000000001</v>
      </c>
      <c r="AB58" s="1">
        <v>-0.66610000000000003</v>
      </c>
      <c r="AC58" s="1">
        <v>8.0699999999999994E-2</v>
      </c>
      <c r="AD58" s="1">
        <v>3.2320000000000002</v>
      </c>
      <c r="AE58" s="1">
        <v>4.5845000000000002</v>
      </c>
      <c r="AF58" s="1">
        <v>2.4146000000000001</v>
      </c>
    </row>
    <row r="59" spans="1:32" s="1" customFormat="1" ht="11.25" x14ac:dyDescent="0.2">
      <c r="A59" s="1">
        <v>42</v>
      </c>
      <c r="B59" s="1">
        <v>1</v>
      </c>
      <c r="C59" s="1">
        <v>25.1</v>
      </c>
      <c r="D59" s="1">
        <v>1</v>
      </c>
      <c r="E59" s="1">
        <v>2.1692</v>
      </c>
      <c r="F59" s="1">
        <v>0.78639999999999999</v>
      </c>
      <c r="G59" s="1">
        <v>0.56840000000000002</v>
      </c>
      <c r="H59" s="1">
        <v>-0.62409999999999999</v>
      </c>
      <c r="I59" s="1">
        <v>8.0000000000000004E-4</v>
      </c>
      <c r="J59" s="1">
        <v>3.0501999999999998</v>
      </c>
      <c r="K59" s="1">
        <v>3.7403</v>
      </c>
      <c r="L59" s="1">
        <v>1.8281000000000001</v>
      </c>
      <c r="M59" s="1">
        <v>-55.2</v>
      </c>
      <c r="N59" s="1">
        <v>1</v>
      </c>
      <c r="O59" s="1">
        <v>2.6204999999999998</v>
      </c>
      <c r="P59" s="1">
        <v>0.89729999999999999</v>
      </c>
      <c r="Q59" s="1">
        <v>0.28620000000000001</v>
      </c>
      <c r="R59" s="1">
        <v>-0.41670000000000001</v>
      </c>
      <c r="S59" s="1">
        <v>3.2000000000000002E-3</v>
      </c>
      <c r="T59" s="1">
        <v>1.4331</v>
      </c>
      <c r="U59" s="1">
        <v>2.6865000000000001</v>
      </c>
      <c r="V59" s="1">
        <v>1.6712</v>
      </c>
      <c r="W59" s="1">
        <v>100.8</v>
      </c>
      <c r="X59" s="1">
        <v>1</v>
      </c>
      <c r="Y59" s="1">
        <v>1.7042999999999999</v>
      </c>
      <c r="AB59" s="1">
        <v>-0.67430000000000001</v>
      </c>
      <c r="AC59" s="1">
        <v>9.6299999999999997E-2</v>
      </c>
      <c r="AD59" s="1">
        <v>3.3330000000000002</v>
      </c>
      <c r="AE59" s="1">
        <v>4.7770000000000001</v>
      </c>
      <c r="AF59" s="1">
        <v>1.9773000000000001</v>
      </c>
    </row>
    <row r="60" spans="1:32" s="1" customFormat="1" ht="11.25" x14ac:dyDescent="0.2">
      <c r="A60" s="1">
        <v>43</v>
      </c>
      <c r="B60" s="1">
        <v>1</v>
      </c>
      <c r="C60" s="1">
        <v>25</v>
      </c>
      <c r="D60" s="1">
        <v>1</v>
      </c>
      <c r="E60" s="1">
        <v>1.9487000000000001</v>
      </c>
      <c r="F60" s="1">
        <v>0.78220000000000001</v>
      </c>
      <c r="G60" s="1">
        <v>0.35970000000000002</v>
      </c>
      <c r="H60" s="1">
        <v>-0.52100000000000002</v>
      </c>
      <c r="I60" s="1">
        <v>6.9999999999999999E-4</v>
      </c>
      <c r="J60" s="1">
        <v>3.0459999999999998</v>
      </c>
      <c r="K60" s="1">
        <v>3.7572000000000001</v>
      </c>
      <c r="L60" s="1">
        <v>2.1215000000000002</v>
      </c>
      <c r="M60" s="1">
        <v>-55.4</v>
      </c>
      <c r="N60" s="1">
        <v>1</v>
      </c>
      <c r="O60" s="1">
        <v>2.3307000000000002</v>
      </c>
      <c r="P60" s="1">
        <v>0.89429999999999998</v>
      </c>
      <c r="Q60" s="1">
        <v>0.43099999999999999</v>
      </c>
      <c r="R60" s="1">
        <v>-0.56330000000000002</v>
      </c>
      <c r="S60" s="1">
        <v>3.0999999999999999E-3</v>
      </c>
      <c r="T60" s="1">
        <v>1.4618</v>
      </c>
      <c r="U60" s="1">
        <v>2.6795</v>
      </c>
      <c r="V60" s="1">
        <v>1.9547000000000001</v>
      </c>
      <c r="W60" s="1">
        <v>101.1</v>
      </c>
      <c r="X60" s="1">
        <v>1</v>
      </c>
      <c r="Y60" s="1">
        <v>1.5421</v>
      </c>
      <c r="AB60" s="1">
        <v>-0.73509999999999998</v>
      </c>
      <c r="AC60" s="1">
        <v>8.8599999999999998E-2</v>
      </c>
      <c r="AD60" s="1">
        <v>3.3809</v>
      </c>
      <c r="AE60" s="1">
        <v>4.8381999999999996</v>
      </c>
      <c r="AF60" s="1">
        <v>2.2805</v>
      </c>
    </row>
    <row r="61" spans="1:32" s="1" customFormat="1" ht="11.25" x14ac:dyDescent="0.2">
      <c r="A61" s="1">
        <v>45</v>
      </c>
      <c r="B61" s="1">
        <v>1</v>
      </c>
      <c r="C61" s="1">
        <v>25</v>
      </c>
      <c r="D61" s="1">
        <v>1</v>
      </c>
      <c r="E61" s="1">
        <v>2.0535000000000001</v>
      </c>
      <c r="F61" s="1">
        <v>0.78249999999999997</v>
      </c>
      <c r="G61" s="1">
        <v>0.53979999999999995</v>
      </c>
      <c r="H61" s="1">
        <v>-0.62219999999999998</v>
      </c>
      <c r="I61" s="1">
        <v>4.0000000000000002E-4</v>
      </c>
      <c r="J61" s="1">
        <v>2.8508</v>
      </c>
      <c r="K61" s="1">
        <v>3.5609000000000002</v>
      </c>
      <c r="L61" s="1">
        <v>2.0011000000000001</v>
      </c>
      <c r="M61" s="1">
        <v>-55.4</v>
      </c>
      <c r="N61" s="1">
        <v>1</v>
      </c>
      <c r="O61" s="1">
        <v>2.4813999999999998</v>
      </c>
      <c r="P61" s="1">
        <v>0.89370000000000005</v>
      </c>
      <c r="Q61" s="1">
        <v>0.51300000000000001</v>
      </c>
      <c r="R61" s="1">
        <v>-0.4793</v>
      </c>
      <c r="S61" s="1">
        <v>4.1999999999999997E-3</v>
      </c>
      <c r="T61" s="1">
        <v>1.2176</v>
      </c>
      <c r="U61" s="1">
        <v>2.5135000000000001</v>
      </c>
      <c r="V61" s="1">
        <v>1.8393999999999999</v>
      </c>
      <c r="W61" s="1">
        <v>99.9</v>
      </c>
      <c r="X61" s="1">
        <v>1</v>
      </c>
      <c r="Y61" s="1">
        <v>1.5951</v>
      </c>
      <c r="AB61" s="1">
        <v>-0.55459999999999998</v>
      </c>
      <c r="AC61" s="1">
        <v>0.1111</v>
      </c>
      <c r="AD61" s="1">
        <v>3.1756000000000002</v>
      </c>
      <c r="AE61" s="1">
        <v>4.6738999999999997</v>
      </c>
      <c r="AF61" s="1">
        <v>2.1659999999999999</v>
      </c>
    </row>
    <row r="62" spans="1:32" s="1" customFormat="1" ht="11.25" x14ac:dyDescent="0.2">
      <c r="A62" s="1">
        <v>46</v>
      </c>
      <c r="B62" s="1">
        <v>1</v>
      </c>
      <c r="C62" s="1">
        <v>25</v>
      </c>
      <c r="D62" s="1">
        <v>1</v>
      </c>
      <c r="E62" s="1">
        <v>2.0880000000000001</v>
      </c>
      <c r="F62" s="1">
        <v>0.7863</v>
      </c>
      <c r="G62" s="1">
        <v>0.40550000000000003</v>
      </c>
      <c r="H62" s="1">
        <v>-0.61909999999999998</v>
      </c>
      <c r="I62" s="1">
        <v>4.0000000000000002E-4</v>
      </c>
      <c r="J62" s="1">
        <v>2.8828</v>
      </c>
      <c r="K62" s="1">
        <v>3.6602999999999999</v>
      </c>
      <c r="L62" s="1">
        <v>1.8951</v>
      </c>
      <c r="M62" s="1">
        <v>-55.3</v>
      </c>
      <c r="N62" s="1">
        <v>1</v>
      </c>
      <c r="O62" s="1">
        <v>2.4973999999999998</v>
      </c>
      <c r="P62" s="1">
        <v>0.89629999999999999</v>
      </c>
      <c r="Q62" s="1">
        <v>0.42330000000000001</v>
      </c>
      <c r="R62" s="1">
        <v>-0.35859999999999997</v>
      </c>
      <c r="S62" s="1">
        <v>4.0000000000000001E-3</v>
      </c>
      <c r="T62" s="1">
        <v>1.3405</v>
      </c>
      <c r="U62" s="1">
        <v>2.6042000000000001</v>
      </c>
      <c r="V62" s="1">
        <v>1.7357</v>
      </c>
      <c r="W62" s="1">
        <v>100.8</v>
      </c>
      <c r="X62" s="1">
        <v>1</v>
      </c>
      <c r="Y62" s="1">
        <v>1.6532</v>
      </c>
      <c r="AB62" s="1">
        <v>-0.71379999999999999</v>
      </c>
      <c r="AC62" s="1">
        <v>9.7699999999999995E-2</v>
      </c>
      <c r="AD62" s="1">
        <v>3.2515000000000001</v>
      </c>
      <c r="AE62" s="1">
        <v>4.6486000000000001</v>
      </c>
      <c r="AF62" s="1">
        <v>2.0474999999999999</v>
      </c>
    </row>
    <row r="63" spans="1:32" s="1" customFormat="1" ht="11.25" x14ac:dyDescent="0.2">
      <c r="A63" s="1">
        <v>47</v>
      </c>
      <c r="B63" s="1">
        <v>1</v>
      </c>
      <c r="C63" s="1">
        <v>25</v>
      </c>
      <c r="D63" s="1">
        <v>1</v>
      </c>
      <c r="E63" s="1">
        <v>2.0388999999999999</v>
      </c>
      <c r="F63" s="1">
        <v>0.77810000000000001</v>
      </c>
      <c r="G63" s="1">
        <v>0.56740000000000002</v>
      </c>
      <c r="H63" s="1">
        <v>-0.60719999999999996</v>
      </c>
      <c r="I63" s="1">
        <v>5.0000000000000001E-4</v>
      </c>
      <c r="J63" s="1">
        <v>2.827</v>
      </c>
      <c r="K63" s="1">
        <v>3.5308999999999999</v>
      </c>
      <c r="L63" s="1">
        <v>2.2025999999999999</v>
      </c>
      <c r="M63" s="1">
        <v>-55.5</v>
      </c>
      <c r="N63" s="1">
        <v>1</v>
      </c>
      <c r="O63" s="1">
        <v>2.4603999999999999</v>
      </c>
      <c r="P63" s="1">
        <v>0.8921</v>
      </c>
      <c r="Q63" s="1">
        <v>0.50349999999999995</v>
      </c>
      <c r="R63" s="1">
        <v>-0.502</v>
      </c>
      <c r="S63" s="1">
        <v>2.5999999999999999E-3</v>
      </c>
      <c r="T63" s="1">
        <v>1.3192999999999999</v>
      </c>
      <c r="U63" s="1">
        <v>2.4881000000000002</v>
      </c>
      <c r="V63" s="1">
        <v>2.0346000000000002</v>
      </c>
      <c r="W63" s="1">
        <v>101</v>
      </c>
      <c r="X63" s="1">
        <v>1</v>
      </c>
      <c r="Y63" s="1">
        <v>1.5960000000000001</v>
      </c>
      <c r="AB63" s="1">
        <v>-0.79549999999999998</v>
      </c>
      <c r="AC63" s="1">
        <v>0.1036</v>
      </c>
      <c r="AD63" s="1">
        <v>3.1880000000000002</v>
      </c>
      <c r="AE63" s="1">
        <v>4.6009000000000002</v>
      </c>
      <c r="AF63" s="1">
        <v>2.3717000000000001</v>
      </c>
    </row>
    <row r="64" spans="1:32" s="1" customFormat="1" ht="11.25" x14ac:dyDescent="0.2">
      <c r="A64" s="1">
        <v>48</v>
      </c>
      <c r="B64" s="1">
        <v>1</v>
      </c>
      <c r="C64" s="1">
        <v>25</v>
      </c>
      <c r="D64" s="1">
        <v>1</v>
      </c>
      <c r="E64" s="1">
        <v>1.9481999999999999</v>
      </c>
      <c r="F64" s="1">
        <v>0.77800000000000002</v>
      </c>
      <c r="G64" s="1">
        <v>0.5393</v>
      </c>
      <c r="H64" s="1">
        <v>-0.5202</v>
      </c>
      <c r="I64" s="1">
        <v>8.9999999999999998E-4</v>
      </c>
      <c r="J64" s="1">
        <v>2.8677000000000001</v>
      </c>
      <c r="K64" s="1">
        <v>3.6084000000000001</v>
      </c>
      <c r="L64" s="1">
        <v>2.2079</v>
      </c>
      <c r="M64" s="1">
        <v>-55.3</v>
      </c>
      <c r="N64" s="1">
        <v>1</v>
      </c>
      <c r="O64" s="1">
        <v>2.3407</v>
      </c>
      <c r="P64" s="1">
        <v>0.88900000000000001</v>
      </c>
      <c r="Q64" s="1">
        <v>0.29189999999999999</v>
      </c>
      <c r="R64" s="1">
        <v>-0.44379999999999997</v>
      </c>
      <c r="S64" s="1">
        <v>3.3E-3</v>
      </c>
      <c r="T64" s="1">
        <v>1.4884999999999999</v>
      </c>
      <c r="U64" s="1">
        <v>2.5251000000000001</v>
      </c>
      <c r="V64" s="1">
        <v>2.0301</v>
      </c>
      <c r="W64" s="1">
        <v>101</v>
      </c>
      <c r="X64" s="1">
        <v>1</v>
      </c>
      <c r="Y64" s="1">
        <v>1.5311999999999999</v>
      </c>
      <c r="AB64" s="1">
        <v>-0.54849999999999999</v>
      </c>
      <c r="AC64" s="1">
        <v>8.7499999999999994E-2</v>
      </c>
      <c r="AD64" s="1">
        <v>3.2084999999999999</v>
      </c>
      <c r="AE64" s="1">
        <v>4.6539999999999999</v>
      </c>
      <c r="AF64" s="1">
        <v>2.4091999999999998</v>
      </c>
    </row>
    <row r="65" spans="1:32" s="1" customFormat="1" ht="11.25" x14ac:dyDescent="0.2">
      <c r="A65" s="1">
        <v>49</v>
      </c>
      <c r="B65" s="1">
        <v>1</v>
      </c>
      <c r="C65" s="1">
        <v>25</v>
      </c>
      <c r="D65" s="1">
        <v>1</v>
      </c>
      <c r="E65" s="1">
        <v>2.0613000000000001</v>
      </c>
      <c r="F65" s="1">
        <v>0.78249999999999997</v>
      </c>
      <c r="G65" s="1">
        <v>0.4446</v>
      </c>
      <c r="H65" s="1">
        <v>-0.42130000000000001</v>
      </c>
      <c r="I65" s="1">
        <v>1.1000000000000001E-3</v>
      </c>
      <c r="J65" s="1">
        <v>2.9380999999999999</v>
      </c>
      <c r="K65" s="1">
        <v>3.6539999999999999</v>
      </c>
      <c r="L65" s="1">
        <v>1.9272</v>
      </c>
      <c r="M65" s="1">
        <v>-55.4</v>
      </c>
      <c r="N65" s="1">
        <v>1</v>
      </c>
      <c r="O65" s="1">
        <v>2.4445000000000001</v>
      </c>
      <c r="P65" s="1">
        <v>0.8891</v>
      </c>
      <c r="Q65" s="1">
        <v>0.30320000000000003</v>
      </c>
      <c r="R65" s="1">
        <v>-0.36520000000000002</v>
      </c>
      <c r="S65" s="1">
        <v>4.1000000000000003E-3</v>
      </c>
      <c r="T65" s="1">
        <v>1.3354999999999999</v>
      </c>
      <c r="U65" s="1">
        <v>2.6594000000000002</v>
      </c>
      <c r="V65" s="1">
        <v>1.7692000000000001</v>
      </c>
      <c r="W65" s="1">
        <v>101</v>
      </c>
      <c r="X65" s="1">
        <v>1</v>
      </c>
      <c r="Y65" s="1">
        <v>1.6744000000000001</v>
      </c>
      <c r="AB65" s="1">
        <v>-0.58540000000000003</v>
      </c>
      <c r="AC65" s="1">
        <v>6.5000000000000002E-2</v>
      </c>
      <c r="AD65" s="1">
        <v>3.1116999999999999</v>
      </c>
      <c r="AE65" s="1">
        <v>4.6361999999999997</v>
      </c>
      <c r="AF65" s="1">
        <v>2.1280000000000001</v>
      </c>
    </row>
    <row r="66" spans="1:32" s="1" customFormat="1" ht="11.25" x14ac:dyDescent="0.2">
      <c r="A66" s="1">
        <v>50</v>
      </c>
      <c r="B66" s="1">
        <v>1</v>
      </c>
      <c r="C66" s="1">
        <v>25</v>
      </c>
      <c r="D66" s="1">
        <v>1</v>
      </c>
      <c r="E66" s="1">
        <v>2.0672000000000001</v>
      </c>
      <c r="F66" s="1">
        <v>0.78320000000000001</v>
      </c>
      <c r="G66" s="1">
        <v>0.34510000000000002</v>
      </c>
      <c r="H66" s="1">
        <v>-0.54579999999999995</v>
      </c>
      <c r="I66" s="1">
        <v>8.0000000000000004E-4</v>
      </c>
      <c r="J66" s="1">
        <v>2.8281000000000001</v>
      </c>
      <c r="K66" s="1">
        <v>3.5718999999999999</v>
      </c>
      <c r="L66" s="1">
        <v>1.7672000000000001</v>
      </c>
      <c r="M66" s="1">
        <v>-55.3</v>
      </c>
      <c r="N66" s="1">
        <v>1</v>
      </c>
      <c r="O66" s="1">
        <v>2.4727000000000001</v>
      </c>
      <c r="P66" s="1">
        <v>0.89270000000000005</v>
      </c>
      <c r="Q66" s="1">
        <v>0.45929999999999999</v>
      </c>
      <c r="R66" s="1">
        <v>-0.35539999999999999</v>
      </c>
      <c r="S66" s="1">
        <v>3.7000000000000002E-3</v>
      </c>
      <c r="T66" s="1">
        <v>1.2484999999999999</v>
      </c>
      <c r="U66" s="1">
        <v>2.5636999999999999</v>
      </c>
      <c r="V66" s="1">
        <v>1.6093999999999999</v>
      </c>
      <c r="W66" s="1">
        <v>100.7</v>
      </c>
      <c r="X66" s="1">
        <v>1</v>
      </c>
      <c r="Y66" s="1">
        <v>1.6394</v>
      </c>
      <c r="AB66" s="1">
        <v>-0.73409999999999997</v>
      </c>
      <c r="AC66" s="1">
        <v>9.6600000000000005E-2</v>
      </c>
      <c r="AD66" s="1">
        <v>3.0590000000000002</v>
      </c>
      <c r="AE66" s="1">
        <v>4.5867000000000004</v>
      </c>
      <c r="AF66" s="1">
        <v>1.9453</v>
      </c>
    </row>
    <row r="67" spans="1:32" s="1" customFormat="1" ht="11.25" x14ac:dyDescent="0.2">
      <c r="A67" s="1">
        <v>51</v>
      </c>
      <c r="B67" s="1">
        <v>1</v>
      </c>
      <c r="C67" s="1">
        <v>25</v>
      </c>
      <c r="D67" s="1">
        <v>1</v>
      </c>
      <c r="E67" s="1">
        <v>2.0097999999999998</v>
      </c>
      <c r="F67" s="1">
        <v>0.7752</v>
      </c>
      <c r="G67" s="1">
        <v>0.5494</v>
      </c>
      <c r="H67" s="1">
        <v>-0.54369999999999996</v>
      </c>
      <c r="I67" s="1">
        <v>5.9999999999999995E-4</v>
      </c>
      <c r="J67" s="1">
        <v>2.7206999999999999</v>
      </c>
      <c r="K67" s="1">
        <v>3.5034000000000001</v>
      </c>
      <c r="L67" s="1">
        <v>2.2669000000000001</v>
      </c>
      <c r="M67" s="1">
        <v>-55.5</v>
      </c>
      <c r="N67" s="1">
        <v>1</v>
      </c>
      <c r="O67" s="1">
        <v>2.3856999999999999</v>
      </c>
      <c r="P67" s="1">
        <v>0.88049999999999995</v>
      </c>
      <c r="Q67" s="1">
        <v>0.39960000000000001</v>
      </c>
      <c r="R67" s="1">
        <v>-0.55079999999999996</v>
      </c>
      <c r="S67" s="1">
        <v>3.8E-3</v>
      </c>
      <c r="T67" s="1">
        <v>1.3542000000000001</v>
      </c>
      <c r="U67" s="1">
        <v>2.5266999999999999</v>
      </c>
      <c r="V67" s="1">
        <v>2.1089000000000002</v>
      </c>
      <c r="W67" s="1">
        <v>100.8</v>
      </c>
      <c r="X67" s="1">
        <v>1</v>
      </c>
      <c r="Y67" s="1">
        <v>1.6233</v>
      </c>
      <c r="AB67" s="1">
        <v>-0.81130000000000002</v>
      </c>
      <c r="AC67" s="1">
        <v>6.2399999999999997E-2</v>
      </c>
      <c r="AD67" s="1">
        <v>3.1774</v>
      </c>
      <c r="AE67" s="1">
        <v>4.5423</v>
      </c>
      <c r="AF67" s="1">
        <v>2.3620999999999999</v>
      </c>
    </row>
    <row r="68" spans="1:32" s="1" customFormat="1" ht="11.25" x14ac:dyDescent="0.2">
      <c r="A68" s="1">
        <v>52</v>
      </c>
      <c r="B68" s="1">
        <v>1</v>
      </c>
      <c r="C68" s="1">
        <v>25</v>
      </c>
      <c r="D68" s="1">
        <v>1</v>
      </c>
      <c r="E68" s="1">
        <v>2.0263</v>
      </c>
      <c r="F68" s="1">
        <v>0.78669999999999995</v>
      </c>
      <c r="G68" s="1">
        <v>0.3372</v>
      </c>
      <c r="H68" s="1">
        <v>-0.54749999999999999</v>
      </c>
      <c r="I68" s="1">
        <v>4.0000000000000002E-4</v>
      </c>
      <c r="J68" s="1">
        <v>2.8847999999999998</v>
      </c>
      <c r="K68" s="1">
        <v>4.0629</v>
      </c>
      <c r="L68" s="1">
        <v>1.9818</v>
      </c>
      <c r="M68" s="1">
        <v>-55.5</v>
      </c>
      <c r="N68" s="1">
        <v>1</v>
      </c>
      <c r="O68" s="1">
        <v>2.3856000000000002</v>
      </c>
      <c r="P68" s="1">
        <v>0.88470000000000004</v>
      </c>
      <c r="Q68" s="1">
        <v>0.32329999999999998</v>
      </c>
      <c r="R68" s="1">
        <v>-0.50360000000000005</v>
      </c>
      <c r="S68" s="1">
        <v>4.0000000000000001E-3</v>
      </c>
      <c r="T68" s="1">
        <v>1.3635999999999999</v>
      </c>
      <c r="U68" s="1">
        <v>3.1766000000000001</v>
      </c>
      <c r="V68" s="1">
        <v>1.8365</v>
      </c>
      <c r="W68" s="1">
        <v>101</v>
      </c>
      <c r="X68" s="1">
        <v>1</v>
      </c>
      <c r="Y68" s="1">
        <v>1.6759999999999999</v>
      </c>
      <c r="AB68" s="1">
        <v>-0.51200000000000001</v>
      </c>
      <c r="AC68" s="1">
        <v>4.2999999999999997E-2</v>
      </c>
      <c r="AD68" s="1">
        <v>3.0865</v>
      </c>
      <c r="AE68" s="1">
        <v>4.9283000000000001</v>
      </c>
      <c r="AF68" s="1">
        <v>2.1175999999999999</v>
      </c>
    </row>
    <row r="69" spans="1:32" s="1" customFormat="1" ht="11.25" x14ac:dyDescent="0.2">
      <c r="A69" s="1">
        <v>53</v>
      </c>
      <c r="B69" s="1">
        <v>1</v>
      </c>
      <c r="C69" s="1">
        <v>24.9</v>
      </c>
      <c r="D69" s="1">
        <v>1</v>
      </c>
      <c r="E69" s="1">
        <v>1.9737</v>
      </c>
      <c r="F69" s="1">
        <v>0.77329999999999999</v>
      </c>
      <c r="G69" s="1">
        <v>0.35510000000000003</v>
      </c>
      <c r="H69" s="1">
        <v>-0.5393</v>
      </c>
      <c r="I69" s="1">
        <v>8.9999999999999998E-4</v>
      </c>
      <c r="J69" s="1">
        <v>2.9599000000000002</v>
      </c>
      <c r="K69" s="1">
        <v>3.4405000000000001</v>
      </c>
      <c r="L69" s="1">
        <v>2.2122999999999999</v>
      </c>
      <c r="M69" s="1">
        <v>-55.6</v>
      </c>
      <c r="N69" s="1">
        <v>1</v>
      </c>
      <c r="O69" s="1">
        <v>2.3555999999999999</v>
      </c>
      <c r="P69" s="1">
        <v>0.88090000000000002</v>
      </c>
      <c r="Q69" s="1">
        <v>0.30359999999999998</v>
      </c>
      <c r="R69" s="1">
        <v>-0.50139999999999996</v>
      </c>
      <c r="S69" s="1">
        <v>3.0999999999999999E-3</v>
      </c>
      <c r="T69" s="1">
        <v>1.3214999999999999</v>
      </c>
      <c r="U69" s="1">
        <v>2.4983</v>
      </c>
      <c r="V69" s="1">
        <v>2.0506000000000002</v>
      </c>
      <c r="W69" s="1">
        <v>101</v>
      </c>
      <c r="X69" s="1">
        <v>1</v>
      </c>
      <c r="Y69" s="1">
        <v>1.6037999999999999</v>
      </c>
      <c r="AB69" s="1">
        <v>-0.5544</v>
      </c>
      <c r="AC69" s="1">
        <v>6.5699999999999995E-2</v>
      </c>
      <c r="AD69" s="1">
        <v>3.0956000000000001</v>
      </c>
      <c r="AE69" s="1">
        <v>4.4435000000000002</v>
      </c>
      <c r="AF69" s="1">
        <v>2.3616000000000001</v>
      </c>
    </row>
    <row r="70" spans="1:32" s="1" customFormat="1" ht="11.25" x14ac:dyDescent="0.2">
      <c r="A70" s="1">
        <v>54</v>
      </c>
      <c r="B70" s="1">
        <v>1</v>
      </c>
      <c r="C70" s="1">
        <v>24.9</v>
      </c>
      <c r="D70" s="1">
        <v>1</v>
      </c>
      <c r="E70" s="1">
        <v>1.9882</v>
      </c>
      <c r="F70" s="1">
        <v>0.77769999999999995</v>
      </c>
      <c r="G70" s="1">
        <v>0.56330000000000002</v>
      </c>
      <c r="H70" s="1">
        <v>-0.54749999999999999</v>
      </c>
      <c r="I70" s="1">
        <v>8.0000000000000004E-4</v>
      </c>
      <c r="J70" s="1">
        <v>2.8854000000000002</v>
      </c>
      <c r="K70" s="1">
        <v>3.5712999999999999</v>
      </c>
      <c r="L70" s="1">
        <v>2.0287000000000002</v>
      </c>
      <c r="M70" s="1">
        <v>-55.5</v>
      </c>
      <c r="N70" s="1">
        <v>1</v>
      </c>
      <c r="O70" s="1">
        <v>2.3132000000000001</v>
      </c>
      <c r="P70" s="1">
        <v>0.86870000000000003</v>
      </c>
      <c r="Q70" s="1">
        <v>0.28610000000000002</v>
      </c>
      <c r="R70" s="1">
        <v>-0.44400000000000001</v>
      </c>
      <c r="S70" s="1">
        <v>3.5000000000000001E-3</v>
      </c>
      <c r="T70" s="1">
        <v>1.5264</v>
      </c>
      <c r="U70" s="1">
        <v>2.6865999999999999</v>
      </c>
      <c r="V70" s="1">
        <v>1.8782000000000001</v>
      </c>
      <c r="W70" s="1">
        <v>101</v>
      </c>
      <c r="X70" s="1">
        <v>1</v>
      </c>
      <c r="Y70" s="1">
        <v>1.6918</v>
      </c>
      <c r="AB70" s="1">
        <v>-0.59650000000000003</v>
      </c>
      <c r="AC70" s="1">
        <v>2.9399999999999999E-2</v>
      </c>
      <c r="AD70" s="1">
        <v>2.9872999999999998</v>
      </c>
      <c r="AE70" s="1">
        <v>4.3822000000000001</v>
      </c>
      <c r="AF70" s="1">
        <v>2.1312000000000002</v>
      </c>
    </row>
    <row r="71" spans="1:32" s="1" customFormat="1" ht="11.25" x14ac:dyDescent="0.2">
      <c r="A71" s="1">
        <v>55</v>
      </c>
      <c r="B71" s="1">
        <v>1</v>
      </c>
      <c r="C71" s="1">
        <v>25.1</v>
      </c>
      <c r="D71" s="1">
        <v>1</v>
      </c>
      <c r="E71" s="1">
        <v>1.9732000000000001</v>
      </c>
      <c r="F71" s="1">
        <v>0.78</v>
      </c>
      <c r="G71" s="1">
        <v>0.47049999999999997</v>
      </c>
      <c r="H71" s="1">
        <v>-0.45069999999999999</v>
      </c>
      <c r="I71" s="1">
        <v>8.9999999999999998E-4</v>
      </c>
      <c r="J71" s="1">
        <v>2.7269000000000001</v>
      </c>
      <c r="K71" s="1">
        <v>3.5137</v>
      </c>
      <c r="L71" s="1">
        <v>2.0653999999999999</v>
      </c>
      <c r="M71" s="1">
        <v>-54.9</v>
      </c>
      <c r="N71" s="1">
        <v>1</v>
      </c>
      <c r="O71" s="1">
        <v>2.3008999999999999</v>
      </c>
      <c r="P71" s="1">
        <v>0.86970000000000003</v>
      </c>
      <c r="Q71" s="1">
        <v>0.40250000000000002</v>
      </c>
      <c r="R71" s="1">
        <v>-0.57650000000000001</v>
      </c>
      <c r="S71" s="1">
        <v>2.3E-3</v>
      </c>
      <c r="T71" s="1">
        <v>1.5374000000000001</v>
      </c>
      <c r="U71" s="1">
        <v>2.6328</v>
      </c>
      <c r="V71" s="1">
        <v>1.9278999999999999</v>
      </c>
      <c r="W71" s="1">
        <v>100.9</v>
      </c>
      <c r="X71" s="1">
        <v>1</v>
      </c>
      <c r="Y71" s="1">
        <v>1.6682999999999999</v>
      </c>
      <c r="AB71" s="1">
        <v>-0.754</v>
      </c>
      <c r="AC71" s="1">
        <v>2.53E-2</v>
      </c>
      <c r="AD71" s="1">
        <v>3.0127999999999999</v>
      </c>
      <c r="AE71" s="1">
        <v>4.3739999999999997</v>
      </c>
      <c r="AF71" s="1">
        <v>2.19</v>
      </c>
    </row>
    <row r="72" spans="1:32" s="1" customFormat="1" ht="11.25" x14ac:dyDescent="0.2">
      <c r="A72" s="1">
        <v>56</v>
      </c>
      <c r="B72" s="1">
        <v>1</v>
      </c>
      <c r="C72" s="1">
        <v>24.9</v>
      </c>
      <c r="D72" s="1">
        <v>1</v>
      </c>
      <c r="E72" s="1">
        <v>2.1486999999999998</v>
      </c>
      <c r="F72" s="1">
        <v>0.78439999999999999</v>
      </c>
      <c r="G72" s="1">
        <v>0.42830000000000001</v>
      </c>
      <c r="H72" s="1">
        <v>-0.63639999999999997</v>
      </c>
      <c r="I72" s="1">
        <v>6.9999999999999999E-4</v>
      </c>
      <c r="J72" s="1">
        <v>3.0047000000000001</v>
      </c>
      <c r="K72" s="1">
        <v>3.7995000000000001</v>
      </c>
      <c r="L72" s="1">
        <v>1.7097</v>
      </c>
      <c r="M72" s="1">
        <v>-55.5</v>
      </c>
      <c r="N72" s="1">
        <v>1</v>
      </c>
      <c r="O72" s="1">
        <v>2.5049000000000001</v>
      </c>
      <c r="P72" s="1">
        <v>0.876</v>
      </c>
      <c r="Q72" s="1">
        <v>0.3881</v>
      </c>
      <c r="R72" s="1">
        <v>-0.56720000000000004</v>
      </c>
      <c r="S72" s="1">
        <v>3.7000000000000002E-3</v>
      </c>
      <c r="T72" s="1">
        <v>1.5074000000000001</v>
      </c>
      <c r="U72" s="1">
        <v>2.9097</v>
      </c>
      <c r="V72" s="1">
        <v>1.5763</v>
      </c>
      <c r="W72" s="1">
        <v>101.2</v>
      </c>
      <c r="X72" s="1">
        <v>1</v>
      </c>
      <c r="Y72" s="1">
        <v>1.8597999999999999</v>
      </c>
      <c r="AB72" s="1">
        <v>-0.71740000000000004</v>
      </c>
      <c r="AC72" s="1">
        <v>2.8199999999999999E-2</v>
      </c>
      <c r="AD72" s="1">
        <v>2.9209000000000001</v>
      </c>
      <c r="AE72" s="1">
        <v>4.5052000000000003</v>
      </c>
      <c r="AF72" s="1">
        <v>1.8261000000000001</v>
      </c>
    </row>
    <row r="73" spans="1:32" s="1" customFormat="1" ht="11.25" x14ac:dyDescent="0.2">
      <c r="A73" s="1">
        <v>57</v>
      </c>
      <c r="B73" s="1">
        <v>1</v>
      </c>
      <c r="C73" s="1">
        <v>24.9</v>
      </c>
      <c r="D73" s="1">
        <v>1</v>
      </c>
      <c r="E73" s="1">
        <v>2.2452000000000001</v>
      </c>
      <c r="F73" s="1">
        <v>0.7893</v>
      </c>
      <c r="G73" s="1">
        <v>0.43169999999999997</v>
      </c>
      <c r="H73" s="1">
        <v>-0.45040000000000002</v>
      </c>
      <c r="I73" s="1">
        <v>1.5E-3</v>
      </c>
      <c r="J73" s="1">
        <v>2.8759000000000001</v>
      </c>
      <c r="K73" s="1">
        <v>3.7229000000000001</v>
      </c>
      <c r="L73" s="1">
        <v>1.6476</v>
      </c>
      <c r="M73" s="1">
        <v>-55.5</v>
      </c>
      <c r="N73" s="1">
        <v>1</v>
      </c>
      <c r="O73" s="1">
        <v>2.6137000000000001</v>
      </c>
      <c r="P73" s="1">
        <v>0.87980000000000003</v>
      </c>
      <c r="Q73" s="1">
        <v>0.51339999999999997</v>
      </c>
      <c r="R73" s="1">
        <v>-0.5333</v>
      </c>
      <c r="S73" s="1">
        <v>4.3E-3</v>
      </c>
      <c r="T73" s="1">
        <v>1.4085000000000001</v>
      </c>
      <c r="U73" s="1">
        <v>2.8771</v>
      </c>
      <c r="V73" s="1">
        <v>1.5207999999999999</v>
      </c>
      <c r="W73" s="1">
        <v>101.1</v>
      </c>
      <c r="X73" s="1">
        <v>1</v>
      </c>
      <c r="Y73" s="1">
        <v>1.9266000000000001</v>
      </c>
      <c r="AB73" s="1">
        <v>-0.68969999999999998</v>
      </c>
      <c r="AC73" s="1">
        <v>2.9899999999999999E-2</v>
      </c>
      <c r="AD73" s="1">
        <v>2.8397999999999999</v>
      </c>
      <c r="AE73" s="1">
        <v>4.5548999999999999</v>
      </c>
      <c r="AF73" s="1">
        <v>1.7649999999999999</v>
      </c>
    </row>
    <row r="74" spans="1:32" s="1" customFormat="1" ht="11.25" x14ac:dyDescent="0.2">
      <c r="A74" s="1">
        <v>58</v>
      </c>
      <c r="B74" s="1">
        <v>1</v>
      </c>
      <c r="C74" s="1">
        <v>24.9</v>
      </c>
      <c r="D74" s="1">
        <v>1</v>
      </c>
      <c r="E74" s="1">
        <v>2.0106000000000002</v>
      </c>
      <c r="F74" s="1">
        <v>0.77259999999999995</v>
      </c>
      <c r="G74" s="1">
        <v>0.43969999999999998</v>
      </c>
      <c r="H74" s="1">
        <v>-0.62490000000000001</v>
      </c>
      <c r="I74" s="1">
        <v>5.9999999999999995E-4</v>
      </c>
      <c r="J74" s="1">
        <v>2.8736999999999999</v>
      </c>
      <c r="K74" s="1">
        <v>3.5615000000000001</v>
      </c>
      <c r="L74" s="1">
        <v>2.1972999999999998</v>
      </c>
      <c r="M74" s="1">
        <v>-55.5</v>
      </c>
      <c r="N74" s="1">
        <v>1</v>
      </c>
      <c r="O74" s="1">
        <v>2.347</v>
      </c>
      <c r="P74" s="1">
        <v>0.86319999999999997</v>
      </c>
      <c r="Q74" s="1">
        <v>0.42409999999999998</v>
      </c>
      <c r="R74" s="1">
        <v>-0.36349999999999999</v>
      </c>
      <c r="S74" s="1">
        <v>2.8E-3</v>
      </c>
      <c r="T74" s="1">
        <v>1.415</v>
      </c>
      <c r="U74" s="1">
        <v>2.6497999999999999</v>
      </c>
      <c r="V74" s="1">
        <v>2.0575999999999999</v>
      </c>
      <c r="W74" s="1">
        <v>101.2</v>
      </c>
      <c r="X74" s="1">
        <v>1</v>
      </c>
      <c r="Y74" s="1">
        <v>1.7477</v>
      </c>
      <c r="AB74" s="1">
        <v>-0.5534</v>
      </c>
      <c r="AC74" s="1">
        <v>1.89E-2</v>
      </c>
      <c r="AD74" s="1">
        <v>2.8771</v>
      </c>
      <c r="AE74" s="1">
        <v>4.3367000000000004</v>
      </c>
      <c r="AF74" s="1">
        <v>2.3098999999999998</v>
      </c>
    </row>
    <row r="75" spans="1:32" s="1" customFormat="1" ht="11.25" x14ac:dyDescent="0.2">
      <c r="A75" s="1">
        <v>59</v>
      </c>
      <c r="B75" s="1">
        <v>1</v>
      </c>
      <c r="C75" s="1">
        <v>25</v>
      </c>
      <c r="D75" s="1">
        <v>1</v>
      </c>
      <c r="E75" s="1">
        <v>1.9786999999999999</v>
      </c>
      <c r="F75" s="1">
        <v>0.77539999999999998</v>
      </c>
      <c r="G75" s="1">
        <v>0.31359999999999999</v>
      </c>
      <c r="H75" s="1">
        <v>-0.43669999999999998</v>
      </c>
      <c r="I75" s="1">
        <v>6.9999999999999999E-4</v>
      </c>
      <c r="J75" s="1">
        <v>2.9449999999999998</v>
      </c>
      <c r="K75" s="1">
        <v>3.5642</v>
      </c>
      <c r="L75" s="1">
        <v>2.1547999999999998</v>
      </c>
      <c r="M75" s="1">
        <v>-55.5</v>
      </c>
      <c r="N75" s="1">
        <v>1</v>
      </c>
      <c r="O75" s="1">
        <v>2.3125</v>
      </c>
      <c r="P75" s="1">
        <v>0.86550000000000005</v>
      </c>
      <c r="Q75" s="1">
        <v>0.41099999999999998</v>
      </c>
      <c r="R75" s="1">
        <v>-0.39200000000000002</v>
      </c>
      <c r="S75" s="1">
        <v>2.8E-3</v>
      </c>
      <c r="T75" s="1">
        <v>1.5283</v>
      </c>
      <c r="U75" s="1">
        <v>2.6545000000000001</v>
      </c>
      <c r="V75" s="1">
        <v>2.0177999999999998</v>
      </c>
      <c r="W75" s="1">
        <v>101</v>
      </c>
      <c r="X75" s="1">
        <v>1</v>
      </c>
      <c r="Y75" s="1">
        <v>1.7061999999999999</v>
      </c>
      <c r="AB75" s="1">
        <v>-0.67059999999999997</v>
      </c>
      <c r="AC75" s="1">
        <v>2.0799999999999999E-2</v>
      </c>
      <c r="AD75" s="1">
        <v>2.9156</v>
      </c>
      <c r="AE75" s="1">
        <v>4.3268000000000004</v>
      </c>
      <c r="AF75" s="1">
        <v>2.2719</v>
      </c>
    </row>
    <row r="76" spans="1:32" s="1" customFormat="1" ht="11.25" x14ac:dyDescent="0.2">
      <c r="A76" s="1">
        <v>60</v>
      </c>
      <c r="B76" s="1">
        <v>1</v>
      </c>
      <c r="C76" s="1">
        <v>24.9</v>
      </c>
      <c r="D76" s="1">
        <v>1</v>
      </c>
      <c r="E76" s="1">
        <v>2.0310999999999999</v>
      </c>
      <c r="F76" s="1">
        <v>0.78310000000000002</v>
      </c>
      <c r="G76" s="1">
        <v>0.48959999999999998</v>
      </c>
      <c r="H76" s="1">
        <v>-0.45119999999999999</v>
      </c>
      <c r="I76" s="1">
        <v>6.9999999999999999E-4</v>
      </c>
      <c r="J76" s="1">
        <v>2.7427999999999999</v>
      </c>
      <c r="K76" s="1">
        <v>3.6208999999999998</v>
      </c>
      <c r="L76" s="1">
        <v>1.907</v>
      </c>
      <c r="M76" s="1">
        <v>-55.6</v>
      </c>
      <c r="N76" s="1">
        <v>1</v>
      </c>
      <c r="O76" s="1">
        <v>2.3472</v>
      </c>
      <c r="P76" s="1">
        <v>0.86719999999999997</v>
      </c>
      <c r="Q76" s="1">
        <v>0.49230000000000002</v>
      </c>
      <c r="R76" s="1">
        <v>-0.44379999999999997</v>
      </c>
      <c r="S76" s="1">
        <v>4.7000000000000002E-3</v>
      </c>
      <c r="T76" s="1">
        <v>1.4944999999999999</v>
      </c>
      <c r="U76" s="1">
        <v>2.8189000000000002</v>
      </c>
      <c r="V76" s="1">
        <v>1.7806</v>
      </c>
      <c r="W76" s="1">
        <v>100.9</v>
      </c>
      <c r="X76" s="1">
        <v>1</v>
      </c>
      <c r="Y76" s="1">
        <v>1.7618</v>
      </c>
      <c r="AB76" s="1">
        <v>-0.52029999999999998</v>
      </c>
      <c r="AC76" s="1">
        <v>1.7899999999999999E-2</v>
      </c>
      <c r="AD76" s="1">
        <v>3.0621</v>
      </c>
      <c r="AE76" s="1">
        <v>4.4154999999999998</v>
      </c>
      <c r="AF76" s="1">
        <v>2.0137</v>
      </c>
    </row>
    <row r="77" spans="1:32" s="1" customFormat="1" ht="11.25" x14ac:dyDescent="0.2">
      <c r="A77" s="1">
        <v>61</v>
      </c>
      <c r="B77" s="1">
        <v>1</v>
      </c>
      <c r="C77" s="1">
        <v>24.9</v>
      </c>
      <c r="D77" s="1">
        <v>1</v>
      </c>
      <c r="E77" s="1">
        <v>1.9387000000000001</v>
      </c>
      <c r="F77" s="1">
        <v>0.7742</v>
      </c>
      <c r="G77" s="1">
        <v>0.4032</v>
      </c>
      <c r="H77" s="1">
        <v>-0.60850000000000004</v>
      </c>
      <c r="I77" s="1">
        <v>8.9999999999999998E-4</v>
      </c>
      <c r="J77" s="1">
        <v>3.03</v>
      </c>
      <c r="K77" s="1">
        <v>3.7763</v>
      </c>
      <c r="L77" s="1">
        <v>2.1463000000000001</v>
      </c>
      <c r="M77" s="1">
        <v>-55.6</v>
      </c>
      <c r="N77" s="1">
        <v>1</v>
      </c>
      <c r="O77" s="1">
        <v>2.2726999999999999</v>
      </c>
      <c r="P77" s="1">
        <v>0.86580000000000001</v>
      </c>
      <c r="Q77" s="1">
        <v>0.49419999999999997</v>
      </c>
      <c r="R77" s="1">
        <v>-0.49459999999999998</v>
      </c>
      <c r="S77" s="1">
        <v>2.0999999999999999E-3</v>
      </c>
      <c r="T77" s="1">
        <v>1.5398000000000001</v>
      </c>
      <c r="U77" s="1">
        <v>2.6890999999999998</v>
      </c>
      <c r="V77" s="1">
        <v>2.0066000000000002</v>
      </c>
      <c r="W77" s="1">
        <v>100.9</v>
      </c>
      <c r="X77" s="1">
        <v>1</v>
      </c>
      <c r="Y77" s="1">
        <v>1.6612</v>
      </c>
      <c r="AB77" s="1">
        <v>-0.52810000000000001</v>
      </c>
      <c r="AC77" s="1">
        <v>2.5399999999999999E-2</v>
      </c>
      <c r="AD77" s="1">
        <v>3.0607000000000002</v>
      </c>
      <c r="AE77" s="1">
        <v>4.3819999999999997</v>
      </c>
      <c r="AF77" s="1">
        <v>2.2610999999999999</v>
      </c>
    </row>
    <row r="78" spans="1:32" s="1" customFormat="1" ht="11.25" x14ac:dyDescent="0.2">
      <c r="A78" s="1">
        <v>62</v>
      </c>
      <c r="B78" s="1">
        <v>1</v>
      </c>
      <c r="C78" s="1">
        <v>24.9</v>
      </c>
      <c r="D78" s="1">
        <v>1</v>
      </c>
      <c r="E78" s="1">
        <v>2.286</v>
      </c>
      <c r="F78" s="1">
        <v>0.78259999999999996</v>
      </c>
      <c r="G78" s="1">
        <v>0.37409999999999999</v>
      </c>
      <c r="H78" s="1">
        <v>-0.56469999999999998</v>
      </c>
      <c r="I78" s="1">
        <v>1E-3</v>
      </c>
      <c r="J78" s="1">
        <v>2.7096</v>
      </c>
      <c r="K78" s="1">
        <v>3.7341000000000002</v>
      </c>
      <c r="L78" s="1">
        <v>1.8814</v>
      </c>
      <c r="M78" s="1">
        <v>-55.8</v>
      </c>
      <c r="N78" s="1">
        <v>1</v>
      </c>
      <c r="O78" s="1">
        <v>2.6619000000000002</v>
      </c>
      <c r="P78" s="1">
        <v>0.86899999999999999</v>
      </c>
      <c r="Q78" s="1">
        <v>0.31609999999999999</v>
      </c>
      <c r="R78" s="1">
        <v>-0.36730000000000002</v>
      </c>
      <c r="S78" s="1">
        <v>2.5999999999999999E-3</v>
      </c>
      <c r="T78" s="1">
        <v>1.3267</v>
      </c>
      <c r="U78" s="1">
        <v>2.9420000000000002</v>
      </c>
      <c r="V78" s="1">
        <v>1.7534000000000001</v>
      </c>
      <c r="W78" s="1">
        <v>100.8</v>
      </c>
      <c r="X78" s="1">
        <v>1</v>
      </c>
      <c r="Y78" s="1">
        <v>1.9926999999999999</v>
      </c>
      <c r="AB78" s="1">
        <v>-0.64339999999999997</v>
      </c>
      <c r="AC78" s="1">
        <v>1.8499999999999999E-2</v>
      </c>
      <c r="AD78" s="1">
        <v>2.8563000000000001</v>
      </c>
      <c r="AE78" s="1">
        <v>4.4039000000000001</v>
      </c>
      <c r="AF78" s="1">
        <v>1.9877</v>
      </c>
    </row>
    <row r="79" spans="1:32" s="1" customFormat="1" ht="11.25" x14ac:dyDescent="0.2">
      <c r="A79" s="1">
        <v>63</v>
      </c>
      <c r="B79" s="1">
        <v>1</v>
      </c>
      <c r="C79" s="1">
        <v>25.1</v>
      </c>
      <c r="D79" s="1">
        <v>1</v>
      </c>
      <c r="E79" s="1">
        <v>1.9198999999999999</v>
      </c>
      <c r="F79" s="1">
        <v>0.77710000000000001</v>
      </c>
      <c r="G79" s="1">
        <v>0.4718</v>
      </c>
      <c r="H79" s="1">
        <v>-0.62139999999999995</v>
      </c>
      <c r="I79" s="1">
        <v>6.9999999999999999E-4</v>
      </c>
      <c r="J79" s="1">
        <v>2.9079000000000002</v>
      </c>
      <c r="K79" s="1">
        <v>3.6774</v>
      </c>
      <c r="L79" s="1">
        <v>2.2888999999999999</v>
      </c>
      <c r="M79" s="1">
        <v>-54.7</v>
      </c>
      <c r="N79" s="1">
        <v>1</v>
      </c>
      <c r="O79" s="1">
        <v>2.3264999999999998</v>
      </c>
      <c r="P79" s="1">
        <v>0.89319999999999999</v>
      </c>
      <c r="Q79" s="1">
        <v>0.40379999999999999</v>
      </c>
      <c r="R79" s="1">
        <v>-0.44080000000000003</v>
      </c>
      <c r="S79" s="1">
        <v>2.8999999999999998E-3</v>
      </c>
      <c r="T79" s="1">
        <v>1.4020999999999999</v>
      </c>
      <c r="U79" s="1">
        <v>2.4983</v>
      </c>
      <c r="V79" s="1">
        <v>2.1202000000000001</v>
      </c>
      <c r="W79" s="1">
        <v>100.4</v>
      </c>
      <c r="X79" s="1">
        <v>1</v>
      </c>
      <c r="Y79" s="1">
        <v>1.4557</v>
      </c>
      <c r="AB79" s="1">
        <v>-0.79549999999999998</v>
      </c>
      <c r="AC79" s="1">
        <v>0.1497</v>
      </c>
      <c r="AD79" s="1">
        <v>3.3100999999999998</v>
      </c>
      <c r="AE79" s="1">
        <v>4.7218</v>
      </c>
      <c r="AF79" s="1">
        <v>2.4712000000000001</v>
      </c>
    </row>
    <row r="80" spans="1:32" s="1" customFormat="1" ht="11.25" x14ac:dyDescent="0.2">
      <c r="A80" s="1">
        <v>64</v>
      </c>
      <c r="B80" s="1">
        <v>1</v>
      </c>
      <c r="C80" s="1">
        <v>25</v>
      </c>
      <c r="D80" s="1">
        <v>1</v>
      </c>
      <c r="E80" s="1">
        <v>2.0524</v>
      </c>
      <c r="F80" s="1">
        <v>0.77780000000000005</v>
      </c>
      <c r="G80" s="1">
        <v>0.4995</v>
      </c>
      <c r="H80" s="1">
        <v>-0.42380000000000001</v>
      </c>
      <c r="I80" s="1">
        <v>1.1000000000000001E-3</v>
      </c>
      <c r="J80" s="1">
        <v>2.7869000000000002</v>
      </c>
      <c r="K80" s="1">
        <v>3.4649999999999999</v>
      </c>
      <c r="L80" s="1">
        <v>1.99</v>
      </c>
      <c r="M80" s="1">
        <v>-55.1</v>
      </c>
      <c r="N80" s="1">
        <v>1</v>
      </c>
      <c r="O80" s="1">
        <v>2.4683000000000002</v>
      </c>
      <c r="P80" s="1">
        <v>0.89129999999999998</v>
      </c>
      <c r="Q80" s="1">
        <v>0.50539999999999996</v>
      </c>
      <c r="R80" s="1">
        <v>-0.50600000000000001</v>
      </c>
      <c r="S80" s="1">
        <v>3.8E-3</v>
      </c>
      <c r="T80" s="1">
        <v>1.2768999999999999</v>
      </c>
      <c r="U80" s="1">
        <v>2.4115000000000002</v>
      </c>
      <c r="V80" s="1">
        <v>1.8261000000000001</v>
      </c>
      <c r="W80" s="1">
        <v>100.2</v>
      </c>
      <c r="X80" s="1">
        <v>1</v>
      </c>
      <c r="Y80" s="1">
        <v>1.5853999999999999</v>
      </c>
      <c r="AB80" s="1">
        <v>-0.77429999999999999</v>
      </c>
      <c r="AC80" s="1">
        <v>0.13150000000000001</v>
      </c>
      <c r="AD80" s="1">
        <v>3.0249999999999999</v>
      </c>
      <c r="AE80" s="1">
        <v>4.4729999999999999</v>
      </c>
      <c r="AF80" s="1">
        <v>2.1524999999999999</v>
      </c>
    </row>
    <row r="81" spans="1:32" s="1" customFormat="1" ht="11.25" x14ac:dyDescent="0.2">
      <c r="A81" s="1">
        <v>65</v>
      </c>
      <c r="B81" s="1">
        <v>1</v>
      </c>
      <c r="C81" s="1">
        <v>25</v>
      </c>
      <c r="D81" s="1">
        <v>1</v>
      </c>
      <c r="E81" s="1">
        <v>2.1374</v>
      </c>
      <c r="F81" s="1">
        <v>0.78390000000000004</v>
      </c>
      <c r="G81" s="1">
        <v>0.33879999999999999</v>
      </c>
      <c r="H81" s="1">
        <v>-0.40689999999999998</v>
      </c>
      <c r="I81" s="1">
        <v>8.9999999999999998E-4</v>
      </c>
      <c r="J81" s="1">
        <v>2.9722</v>
      </c>
      <c r="K81" s="1">
        <v>3.5703</v>
      </c>
      <c r="L81" s="1">
        <v>1.8298000000000001</v>
      </c>
      <c r="M81" s="1">
        <v>-55</v>
      </c>
      <c r="N81" s="1">
        <v>1</v>
      </c>
      <c r="O81" s="1">
        <v>2.5886</v>
      </c>
      <c r="P81" s="1">
        <v>0.9032</v>
      </c>
      <c r="Q81" s="1">
        <v>0.50319999999999998</v>
      </c>
      <c r="R81" s="1">
        <v>-0.54879999999999995</v>
      </c>
      <c r="S81" s="1">
        <v>1.1999999999999999E-3</v>
      </c>
      <c r="T81" s="1">
        <v>1.218</v>
      </c>
      <c r="U81" s="1">
        <v>2.5516999999999999</v>
      </c>
      <c r="V81" s="1">
        <v>1.6637999999999999</v>
      </c>
      <c r="W81" s="1">
        <v>99.8</v>
      </c>
      <c r="X81" s="1">
        <v>1</v>
      </c>
      <c r="Y81" s="1">
        <v>1.6005</v>
      </c>
      <c r="AB81" s="1">
        <v>-0.84450000000000003</v>
      </c>
      <c r="AC81" s="1">
        <v>0.21190000000000001</v>
      </c>
      <c r="AD81" s="1">
        <v>3.3586999999999998</v>
      </c>
      <c r="AE81" s="1">
        <v>4.7824999999999998</v>
      </c>
      <c r="AF81" s="1">
        <v>2.0009000000000001</v>
      </c>
    </row>
    <row r="82" spans="1:32" s="1" customFormat="1" ht="11.25" x14ac:dyDescent="0.2">
      <c r="A82" s="1">
        <v>66</v>
      </c>
      <c r="B82" s="1">
        <v>1</v>
      </c>
      <c r="C82" s="1">
        <v>25</v>
      </c>
      <c r="D82" s="1">
        <v>1</v>
      </c>
      <c r="E82" s="1">
        <v>2.0411999999999999</v>
      </c>
      <c r="F82" s="1">
        <v>0.78380000000000005</v>
      </c>
      <c r="G82" s="1">
        <v>0.31069999999999998</v>
      </c>
      <c r="H82" s="1">
        <v>-0.4662</v>
      </c>
      <c r="I82" s="1">
        <v>1E-3</v>
      </c>
      <c r="J82" s="1">
        <v>2.7391999999999999</v>
      </c>
      <c r="K82" s="1">
        <v>3.5893999999999999</v>
      </c>
      <c r="L82" s="1">
        <v>1.8703000000000001</v>
      </c>
      <c r="M82" s="1">
        <v>-55.1</v>
      </c>
      <c r="N82" s="1">
        <v>1</v>
      </c>
      <c r="O82" s="1">
        <v>2.4735999999999998</v>
      </c>
      <c r="P82" s="1">
        <v>0.90239999999999998</v>
      </c>
      <c r="Q82" s="1">
        <v>0.32440000000000002</v>
      </c>
      <c r="R82" s="1">
        <v>-0.35920000000000002</v>
      </c>
      <c r="S82" s="1">
        <v>3.2000000000000002E-3</v>
      </c>
      <c r="T82" s="1">
        <v>1.3384</v>
      </c>
      <c r="U82" s="1">
        <v>2.4845000000000002</v>
      </c>
      <c r="V82" s="1">
        <v>1.7022999999999999</v>
      </c>
      <c r="W82" s="1">
        <v>100.6</v>
      </c>
      <c r="X82" s="1">
        <v>1</v>
      </c>
      <c r="Y82" s="1">
        <v>1.5222</v>
      </c>
      <c r="AB82" s="1">
        <v>-0.64410000000000001</v>
      </c>
      <c r="AC82" s="1">
        <v>0.20180000000000001</v>
      </c>
      <c r="AD82" s="1">
        <v>3.3369</v>
      </c>
      <c r="AE82" s="1">
        <v>4.8122999999999996</v>
      </c>
      <c r="AF82" s="1">
        <v>2.0415000000000001</v>
      </c>
    </row>
    <row r="83" spans="1:32" s="1" customFormat="1" ht="11.25" x14ac:dyDescent="0.2">
      <c r="A83" s="1">
        <v>67</v>
      </c>
      <c r="B83" s="1">
        <v>1</v>
      </c>
      <c r="C83" s="1">
        <v>25</v>
      </c>
      <c r="D83" s="1">
        <v>1</v>
      </c>
      <c r="E83" s="1">
        <v>1.9306000000000001</v>
      </c>
      <c r="F83" s="1">
        <v>0.77569999999999995</v>
      </c>
      <c r="G83" s="1">
        <v>0.35</v>
      </c>
      <c r="H83" s="1">
        <v>-0.40660000000000002</v>
      </c>
      <c r="I83" s="1">
        <v>8.0000000000000004E-4</v>
      </c>
      <c r="J83" s="1">
        <v>2.7942</v>
      </c>
      <c r="K83" s="1">
        <v>3.5821999999999998</v>
      </c>
      <c r="L83" s="1">
        <v>2.2970999999999999</v>
      </c>
      <c r="M83" s="1">
        <v>-54.9</v>
      </c>
      <c r="N83" s="1">
        <v>1</v>
      </c>
      <c r="O83" s="1">
        <v>2.3582000000000001</v>
      </c>
      <c r="P83" s="1">
        <v>0.89480000000000004</v>
      </c>
      <c r="Q83" s="1">
        <v>0.308</v>
      </c>
      <c r="R83" s="1">
        <v>-0.3599</v>
      </c>
      <c r="S83" s="1">
        <v>3.3E-3</v>
      </c>
      <c r="T83" s="1">
        <v>1.361</v>
      </c>
      <c r="U83" s="1">
        <v>2.4906000000000001</v>
      </c>
      <c r="V83" s="1">
        <v>2.1219000000000001</v>
      </c>
      <c r="W83" s="1">
        <v>100.2</v>
      </c>
      <c r="X83" s="1">
        <v>1</v>
      </c>
      <c r="Y83" s="1">
        <v>1.4396</v>
      </c>
      <c r="AB83" s="1">
        <v>-0.5716</v>
      </c>
      <c r="AC83" s="1">
        <v>0.18990000000000001</v>
      </c>
      <c r="AD83" s="1">
        <v>3.4817</v>
      </c>
      <c r="AE83" s="1">
        <v>4.7663000000000002</v>
      </c>
      <c r="AF83" s="1">
        <v>2.4807000000000001</v>
      </c>
    </row>
    <row r="84" spans="1:32" s="1" customFormat="1" ht="11.25" x14ac:dyDescent="0.2">
      <c r="A84" s="1">
        <v>68</v>
      </c>
      <c r="B84" s="1">
        <v>1</v>
      </c>
      <c r="C84" s="1">
        <v>24.9</v>
      </c>
      <c r="D84" s="1">
        <v>1</v>
      </c>
      <c r="E84" s="1">
        <v>1.9225000000000001</v>
      </c>
      <c r="F84" s="1">
        <v>0.77410000000000001</v>
      </c>
      <c r="G84" s="1">
        <v>0.31719999999999998</v>
      </c>
      <c r="H84" s="1">
        <v>-0.49049999999999999</v>
      </c>
      <c r="I84" s="1">
        <v>5.0000000000000001E-4</v>
      </c>
      <c r="J84" s="1">
        <v>3.0110999999999999</v>
      </c>
      <c r="K84" s="1">
        <v>3.5432999999999999</v>
      </c>
      <c r="L84" s="1">
        <v>2.3289</v>
      </c>
      <c r="M84" s="1">
        <v>-55.1</v>
      </c>
      <c r="N84" s="1">
        <v>1</v>
      </c>
      <c r="O84" s="1">
        <v>2.3363</v>
      </c>
      <c r="P84" s="1">
        <v>0.88990000000000002</v>
      </c>
      <c r="Q84" s="1">
        <v>0.31219999999999998</v>
      </c>
      <c r="R84" s="1">
        <v>-0.34870000000000001</v>
      </c>
      <c r="S84" s="1">
        <v>4.4000000000000003E-3</v>
      </c>
      <c r="T84" s="1">
        <v>1.343</v>
      </c>
      <c r="U84" s="1">
        <v>2.4878</v>
      </c>
      <c r="V84" s="1">
        <v>2.1583000000000001</v>
      </c>
      <c r="W84" s="1">
        <v>100</v>
      </c>
      <c r="X84" s="1">
        <v>1</v>
      </c>
      <c r="Y84" s="1">
        <v>1.4692000000000001</v>
      </c>
      <c r="AB84" s="1">
        <v>-0.63929999999999998</v>
      </c>
      <c r="AC84" s="1">
        <v>0.1358</v>
      </c>
      <c r="AD84" s="1">
        <v>3.3927999999999998</v>
      </c>
      <c r="AE84" s="1">
        <v>4.6669</v>
      </c>
      <c r="AF84" s="1">
        <v>2.5026999999999999</v>
      </c>
    </row>
    <row r="85" spans="1:32" s="1" customFormat="1" ht="11.25" x14ac:dyDescent="0.2">
      <c r="A85" s="1">
        <v>69</v>
      </c>
      <c r="B85" s="1">
        <v>1</v>
      </c>
      <c r="C85" s="1">
        <v>25</v>
      </c>
      <c r="D85" s="1">
        <v>1</v>
      </c>
      <c r="E85" s="1">
        <v>1.9327000000000001</v>
      </c>
      <c r="F85" s="1">
        <v>0.77600000000000002</v>
      </c>
      <c r="G85" s="1">
        <v>0.51080000000000003</v>
      </c>
      <c r="H85" s="1">
        <v>-0.45889999999999997</v>
      </c>
      <c r="I85" s="1">
        <v>6.9999999999999999E-4</v>
      </c>
      <c r="J85" s="1">
        <v>2.923</v>
      </c>
      <c r="K85" s="1">
        <v>3.5434999999999999</v>
      </c>
      <c r="L85" s="1">
        <v>2.3220000000000001</v>
      </c>
      <c r="M85" s="1">
        <v>-55.1</v>
      </c>
      <c r="N85" s="1">
        <v>1</v>
      </c>
      <c r="O85" s="1">
        <v>2.3689</v>
      </c>
      <c r="P85" s="1">
        <v>0.89739999999999998</v>
      </c>
      <c r="Q85" s="1">
        <v>0.4834</v>
      </c>
      <c r="R85" s="1">
        <v>-0.47889999999999999</v>
      </c>
      <c r="S85" s="1">
        <v>2.3E-3</v>
      </c>
      <c r="T85" s="1">
        <v>1.3658999999999999</v>
      </c>
      <c r="U85" s="1">
        <v>2.4559000000000002</v>
      </c>
      <c r="V85" s="1">
        <v>2.1395</v>
      </c>
      <c r="W85" s="1">
        <v>100.2</v>
      </c>
      <c r="X85" s="1">
        <v>1</v>
      </c>
      <c r="Y85" s="1">
        <v>1.4133</v>
      </c>
      <c r="AB85" s="1">
        <v>-0.63</v>
      </c>
      <c r="AC85" s="1">
        <v>0.24679999999999999</v>
      </c>
      <c r="AD85" s="1">
        <v>3.4102000000000001</v>
      </c>
      <c r="AE85" s="1">
        <v>4.8231000000000002</v>
      </c>
      <c r="AF85" s="1">
        <v>2.5150999999999999</v>
      </c>
    </row>
    <row r="86" spans="1:32" s="1" customFormat="1" ht="11.25" x14ac:dyDescent="0.2">
      <c r="A86" s="1">
        <v>70</v>
      </c>
      <c r="B86" s="1">
        <v>1</v>
      </c>
      <c r="C86" s="1">
        <v>24.9</v>
      </c>
      <c r="D86" s="1">
        <v>1</v>
      </c>
      <c r="E86" s="1">
        <v>1.9716</v>
      </c>
      <c r="F86" s="1">
        <v>0.78410000000000002</v>
      </c>
      <c r="G86" s="1">
        <v>0.36280000000000001</v>
      </c>
      <c r="H86" s="1">
        <v>-0.55869999999999997</v>
      </c>
      <c r="I86" s="1">
        <v>5.9999999999999995E-4</v>
      </c>
      <c r="J86" s="1">
        <v>2.9496000000000002</v>
      </c>
      <c r="K86" s="1">
        <v>3.8081999999999998</v>
      </c>
      <c r="L86" s="1">
        <v>1.8103</v>
      </c>
      <c r="M86" s="1">
        <v>-55.1</v>
      </c>
      <c r="N86" s="1">
        <v>1</v>
      </c>
      <c r="O86" s="1">
        <v>2.3702000000000001</v>
      </c>
      <c r="P86" s="1">
        <v>0.90159999999999996</v>
      </c>
      <c r="Q86" s="1">
        <v>0.2797</v>
      </c>
      <c r="R86" s="1">
        <v>-0.40770000000000001</v>
      </c>
      <c r="S86" s="1">
        <v>2.5999999999999999E-3</v>
      </c>
      <c r="T86" s="1">
        <v>1.3483000000000001</v>
      </c>
      <c r="U86" s="1">
        <v>2.7332000000000001</v>
      </c>
      <c r="V86" s="1">
        <v>1.6480999999999999</v>
      </c>
      <c r="W86" s="1">
        <v>100.4</v>
      </c>
      <c r="X86" s="1">
        <v>1</v>
      </c>
      <c r="Y86" s="1">
        <v>1.5067999999999999</v>
      </c>
      <c r="AB86" s="1">
        <v>-0.79220000000000002</v>
      </c>
      <c r="AC86" s="1">
        <v>0.193</v>
      </c>
      <c r="AD86" s="1">
        <v>3.2551999999999999</v>
      </c>
      <c r="AE86" s="1">
        <v>4.8967000000000001</v>
      </c>
      <c r="AF86" s="1">
        <v>1.978</v>
      </c>
    </row>
    <row r="87" spans="1:32" s="1" customFormat="1" ht="11.25" x14ac:dyDescent="0.2">
      <c r="A87" s="1">
        <v>71</v>
      </c>
      <c r="B87" s="1">
        <v>1</v>
      </c>
      <c r="C87" s="1">
        <v>25.1</v>
      </c>
      <c r="D87" s="1">
        <v>1</v>
      </c>
      <c r="E87" s="1">
        <v>2.0506000000000002</v>
      </c>
      <c r="F87" s="1">
        <v>0.77949999999999997</v>
      </c>
      <c r="G87" s="1">
        <v>0.37209999999999999</v>
      </c>
      <c r="H87" s="1">
        <v>-0.39810000000000001</v>
      </c>
      <c r="I87" s="1">
        <v>8.9999999999999998E-4</v>
      </c>
      <c r="J87" s="1">
        <v>2.8891</v>
      </c>
      <c r="K87" s="1">
        <v>3.5388000000000002</v>
      </c>
      <c r="L87" s="1">
        <v>2.1013999999999999</v>
      </c>
      <c r="M87" s="1">
        <v>-55.3</v>
      </c>
      <c r="N87" s="1">
        <v>1</v>
      </c>
      <c r="O87" s="1">
        <v>2.4245999999999999</v>
      </c>
      <c r="P87" s="1">
        <v>0.88280000000000003</v>
      </c>
      <c r="Q87" s="1">
        <v>0.59330000000000005</v>
      </c>
      <c r="R87" s="1">
        <v>-0.52580000000000005</v>
      </c>
      <c r="S87" s="1">
        <v>3.2000000000000002E-3</v>
      </c>
      <c r="T87" s="1">
        <v>1.3007</v>
      </c>
      <c r="U87" s="1">
        <v>2.5209000000000001</v>
      </c>
      <c r="V87" s="1">
        <v>1.9476</v>
      </c>
      <c r="W87" s="1">
        <v>100.9</v>
      </c>
      <c r="X87" s="1">
        <v>1</v>
      </c>
      <c r="Y87" s="1">
        <v>1.6426000000000001</v>
      </c>
      <c r="AB87" s="1">
        <v>-0.66310000000000002</v>
      </c>
      <c r="AC87" s="1">
        <v>7.0499999999999993E-2</v>
      </c>
      <c r="AD87" s="1">
        <v>3.1839</v>
      </c>
      <c r="AE87" s="1">
        <v>4.5603999999999996</v>
      </c>
      <c r="AF87" s="1">
        <v>2.2526000000000002</v>
      </c>
    </row>
    <row r="88" spans="1:32" s="1" customFormat="1" ht="11.25" x14ac:dyDescent="0.2">
      <c r="A88" s="1">
        <v>72</v>
      </c>
      <c r="B88" s="1">
        <v>1</v>
      </c>
      <c r="C88" s="1">
        <v>25</v>
      </c>
      <c r="D88" s="1">
        <v>1</v>
      </c>
      <c r="E88" s="1">
        <v>2.0404</v>
      </c>
      <c r="F88" s="1">
        <v>0.78149999999999997</v>
      </c>
      <c r="G88" s="1">
        <v>0.52539999999999998</v>
      </c>
      <c r="H88" s="1">
        <v>-0.62649999999999995</v>
      </c>
      <c r="I88" s="1">
        <v>5.0000000000000001E-4</v>
      </c>
      <c r="J88" s="1">
        <v>2.9906000000000001</v>
      </c>
      <c r="K88" s="1">
        <v>3.5032999999999999</v>
      </c>
      <c r="L88" s="1">
        <v>2.0579000000000001</v>
      </c>
      <c r="M88" s="1">
        <v>-55.5</v>
      </c>
      <c r="N88" s="1">
        <v>1</v>
      </c>
      <c r="O88" s="1">
        <v>2.4095</v>
      </c>
      <c r="P88" s="1">
        <v>0.88280000000000003</v>
      </c>
      <c r="Q88" s="1">
        <v>0.57479999999999998</v>
      </c>
      <c r="R88" s="1">
        <v>-0.62709999999999999</v>
      </c>
      <c r="S88" s="1">
        <v>3.7000000000000002E-3</v>
      </c>
      <c r="T88" s="1">
        <v>1.3209</v>
      </c>
      <c r="U88" s="1">
        <v>2.5541</v>
      </c>
      <c r="V88" s="1">
        <v>1.9068000000000001</v>
      </c>
      <c r="W88" s="1">
        <v>100.8</v>
      </c>
      <c r="X88" s="1">
        <v>1</v>
      </c>
      <c r="Y88" s="1">
        <v>1.6442000000000001</v>
      </c>
      <c r="AB88" s="1">
        <v>-0.70389999999999997</v>
      </c>
      <c r="AC88" s="1">
        <v>6.5600000000000006E-2</v>
      </c>
      <c r="AD88" s="1">
        <v>3.0712999999999999</v>
      </c>
      <c r="AE88" s="1">
        <v>4.5357000000000003</v>
      </c>
      <c r="AF88" s="1">
        <v>2.2050000000000001</v>
      </c>
    </row>
    <row r="89" spans="1:32" s="1" customFormat="1" ht="11.25" x14ac:dyDescent="0.2">
      <c r="A89" s="1">
        <v>73</v>
      </c>
      <c r="B89" s="1">
        <v>1</v>
      </c>
      <c r="C89" s="1">
        <v>25</v>
      </c>
      <c r="D89" s="1">
        <v>1</v>
      </c>
      <c r="E89" s="1">
        <v>2.0301999999999998</v>
      </c>
      <c r="F89" s="1">
        <v>0.77729999999999999</v>
      </c>
      <c r="G89" s="1">
        <v>0.48359999999999997</v>
      </c>
      <c r="H89" s="1">
        <v>-0.61539999999999995</v>
      </c>
      <c r="I89" s="1">
        <v>6.9999999999999999E-4</v>
      </c>
      <c r="J89" s="1">
        <v>2.9828999999999999</v>
      </c>
      <c r="K89" s="1">
        <v>3.6526000000000001</v>
      </c>
      <c r="L89" s="1">
        <v>2.1747999999999998</v>
      </c>
      <c r="M89" s="1">
        <v>-55.5</v>
      </c>
      <c r="N89" s="1">
        <v>1</v>
      </c>
      <c r="O89" s="1">
        <v>2.41</v>
      </c>
      <c r="P89" s="1">
        <v>0.88</v>
      </c>
      <c r="Q89" s="1">
        <v>0.48609999999999998</v>
      </c>
      <c r="R89" s="1">
        <v>-0.4486</v>
      </c>
      <c r="S89" s="1">
        <v>4.1999999999999997E-3</v>
      </c>
      <c r="T89" s="1">
        <v>1.3334999999999999</v>
      </c>
      <c r="U89" s="1">
        <v>2.6196999999999999</v>
      </c>
      <c r="V89" s="1">
        <v>2.0243000000000002</v>
      </c>
      <c r="W89" s="1">
        <v>100.8</v>
      </c>
      <c r="X89" s="1">
        <v>1</v>
      </c>
      <c r="Y89" s="1">
        <v>1.6358999999999999</v>
      </c>
      <c r="AB89" s="1">
        <v>-0.82940000000000003</v>
      </c>
      <c r="AC89" s="1">
        <v>6.2399999999999997E-2</v>
      </c>
      <c r="AD89" s="1">
        <v>3.1562000000000001</v>
      </c>
      <c r="AE89" s="1">
        <v>4.5576999999999996</v>
      </c>
      <c r="AF89" s="1">
        <v>2.2993999999999999</v>
      </c>
    </row>
    <row r="90" spans="1:32" s="1" customFormat="1" ht="11.25" x14ac:dyDescent="0.2">
      <c r="A90" s="1">
        <v>74</v>
      </c>
      <c r="B90" s="1">
        <v>1</v>
      </c>
      <c r="C90" s="1">
        <v>25</v>
      </c>
      <c r="D90" s="1">
        <v>1</v>
      </c>
      <c r="E90" s="1">
        <v>2.0293999999999999</v>
      </c>
      <c r="F90" s="1">
        <v>0.77549999999999997</v>
      </c>
      <c r="G90" s="1">
        <v>0.3952</v>
      </c>
      <c r="H90" s="1">
        <v>-0.57110000000000005</v>
      </c>
      <c r="I90" s="1">
        <v>8.0000000000000004E-4</v>
      </c>
      <c r="J90" s="1">
        <v>2.8290000000000002</v>
      </c>
      <c r="K90" s="1">
        <v>3.5135999999999998</v>
      </c>
      <c r="L90" s="1">
        <v>2.2618</v>
      </c>
      <c r="M90" s="1">
        <v>-55.3</v>
      </c>
      <c r="N90" s="1">
        <v>1</v>
      </c>
      <c r="O90" s="1">
        <v>2.4060000000000001</v>
      </c>
      <c r="P90" s="1">
        <v>0.87609999999999999</v>
      </c>
      <c r="Q90" s="1">
        <v>0.32219999999999999</v>
      </c>
      <c r="R90" s="1">
        <v>-0.46860000000000002</v>
      </c>
      <c r="S90" s="1">
        <v>3.3E-3</v>
      </c>
      <c r="T90" s="1">
        <v>1.2376</v>
      </c>
      <c r="U90" s="1">
        <v>2.5539000000000001</v>
      </c>
      <c r="V90" s="1">
        <v>2.1116000000000001</v>
      </c>
      <c r="W90" s="1">
        <v>101</v>
      </c>
      <c r="X90" s="1">
        <v>1</v>
      </c>
      <c r="Y90" s="1">
        <v>1.6457999999999999</v>
      </c>
      <c r="AB90" s="1">
        <v>-0.71389999999999998</v>
      </c>
      <c r="AC90" s="1">
        <v>5.6099999999999997E-2</v>
      </c>
      <c r="AD90" s="1">
        <v>3.1328</v>
      </c>
      <c r="AE90" s="1">
        <v>4.5385</v>
      </c>
      <c r="AF90" s="1">
        <v>2.4097</v>
      </c>
    </row>
    <row r="91" spans="1:32" s="1" customFormat="1" ht="11.25" x14ac:dyDescent="0.2">
      <c r="A91" s="1">
        <v>75</v>
      </c>
      <c r="B91" s="1">
        <v>1</v>
      </c>
      <c r="C91" s="1">
        <v>24.9</v>
      </c>
      <c r="D91" s="1">
        <v>1</v>
      </c>
      <c r="E91" s="1">
        <v>2.0152999999999999</v>
      </c>
      <c r="F91" s="1">
        <v>0.7782</v>
      </c>
      <c r="G91" s="1">
        <v>0.36770000000000003</v>
      </c>
      <c r="H91" s="1">
        <v>-0.38890000000000002</v>
      </c>
      <c r="I91" s="1">
        <v>8.0000000000000004E-4</v>
      </c>
      <c r="J91" s="1">
        <v>2.9790999999999999</v>
      </c>
      <c r="K91" s="1">
        <v>3.6551999999999998</v>
      </c>
      <c r="L91" s="1">
        <v>2.1044</v>
      </c>
      <c r="M91" s="1">
        <v>-55.3</v>
      </c>
      <c r="N91" s="1">
        <v>1</v>
      </c>
      <c r="O91" s="1">
        <v>2.4</v>
      </c>
      <c r="P91" s="1">
        <v>0.88300000000000001</v>
      </c>
      <c r="Q91" s="1">
        <v>0.5212</v>
      </c>
      <c r="R91" s="1">
        <v>-0.46710000000000002</v>
      </c>
      <c r="S91" s="1">
        <v>4.1000000000000003E-3</v>
      </c>
      <c r="T91" s="1">
        <v>1.5009999999999999</v>
      </c>
      <c r="U91" s="1">
        <v>2.6522000000000001</v>
      </c>
      <c r="V91" s="1">
        <v>1.9489000000000001</v>
      </c>
      <c r="W91" s="1">
        <v>101.1</v>
      </c>
      <c r="X91" s="1">
        <v>1</v>
      </c>
      <c r="Y91" s="1">
        <v>1.6197999999999999</v>
      </c>
      <c r="AB91" s="1">
        <v>-0.74590000000000001</v>
      </c>
      <c r="AC91" s="1">
        <v>6.88E-2</v>
      </c>
      <c r="AD91" s="1">
        <v>3.2082999999999999</v>
      </c>
      <c r="AE91" s="1">
        <v>4.5704000000000002</v>
      </c>
      <c r="AF91" s="1">
        <v>2.2521</v>
      </c>
    </row>
    <row r="92" spans="1:32" s="1" customFormat="1" ht="11.25" x14ac:dyDescent="0.2">
      <c r="A92" s="1">
        <v>76</v>
      </c>
      <c r="B92" s="1">
        <v>1</v>
      </c>
      <c r="C92" s="1">
        <v>25</v>
      </c>
      <c r="D92" s="1">
        <v>1</v>
      </c>
      <c r="E92" s="1">
        <v>2.0331999999999999</v>
      </c>
      <c r="F92" s="1">
        <v>0.77710000000000001</v>
      </c>
      <c r="G92" s="1">
        <v>0.54820000000000002</v>
      </c>
      <c r="H92" s="1">
        <v>-0.52300000000000002</v>
      </c>
      <c r="I92" s="1">
        <v>5.9999999999999995E-4</v>
      </c>
      <c r="J92" s="1">
        <v>2.9506000000000001</v>
      </c>
      <c r="K92" s="1">
        <v>3.4937</v>
      </c>
      <c r="L92" s="1">
        <v>2.1937000000000002</v>
      </c>
      <c r="M92" s="1">
        <v>-55.3</v>
      </c>
      <c r="N92" s="1">
        <v>1</v>
      </c>
      <c r="O92" s="1">
        <v>2.4102999999999999</v>
      </c>
      <c r="P92" s="1">
        <v>0.87980000000000003</v>
      </c>
      <c r="Q92" s="1">
        <v>0.2908</v>
      </c>
      <c r="R92" s="1">
        <v>-0.46079999999999999</v>
      </c>
      <c r="S92" s="1">
        <v>3.0999999999999999E-3</v>
      </c>
      <c r="T92" s="1">
        <v>1.391</v>
      </c>
      <c r="U92" s="1">
        <v>2.5339</v>
      </c>
      <c r="V92" s="1">
        <v>2.0375999999999999</v>
      </c>
      <c r="W92" s="1">
        <v>100.8</v>
      </c>
      <c r="X92" s="1">
        <v>1</v>
      </c>
      <c r="Y92" s="1">
        <v>1.6349</v>
      </c>
      <c r="AB92" s="1">
        <v>-0.67669999999999997</v>
      </c>
      <c r="AC92" s="1">
        <v>6.54E-2</v>
      </c>
      <c r="AD92" s="1">
        <v>3.1322999999999999</v>
      </c>
      <c r="AE92" s="1">
        <v>4.4772999999999996</v>
      </c>
      <c r="AF92" s="1">
        <v>2.3445</v>
      </c>
    </row>
    <row r="93" spans="1:32" s="1" customFormat="1" ht="11.25" x14ac:dyDescent="0.2">
      <c r="A93" s="1">
        <v>77</v>
      </c>
      <c r="B93" s="1">
        <v>1</v>
      </c>
      <c r="C93" s="1">
        <v>25</v>
      </c>
      <c r="D93" s="1">
        <v>1</v>
      </c>
      <c r="E93" s="1">
        <v>2.0177</v>
      </c>
      <c r="F93" s="1">
        <v>0.78139999999999998</v>
      </c>
      <c r="G93" s="1">
        <v>0.33300000000000002</v>
      </c>
      <c r="H93" s="1">
        <v>-0.37359999999999999</v>
      </c>
      <c r="I93" s="1">
        <v>1E-3</v>
      </c>
      <c r="J93" s="1">
        <v>2.9140999999999999</v>
      </c>
      <c r="K93" s="1">
        <v>3.5045000000000002</v>
      </c>
      <c r="L93" s="1">
        <v>1.9177</v>
      </c>
      <c r="M93" s="1">
        <v>-55.5</v>
      </c>
      <c r="N93" s="1">
        <v>1</v>
      </c>
      <c r="O93" s="1">
        <v>2.3917000000000002</v>
      </c>
      <c r="P93" s="1">
        <v>0.88319999999999999</v>
      </c>
      <c r="Q93" s="1">
        <v>0.41099999999999998</v>
      </c>
      <c r="R93" s="1">
        <v>-0.36049999999999999</v>
      </c>
      <c r="S93" s="1">
        <v>3.7000000000000002E-3</v>
      </c>
      <c r="T93" s="1">
        <v>1.3465</v>
      </c>
      <c r="U93" s="1">
        <v>2.5312999999999999</v>
      </c>
      <c r="V93" s="1">
        <v>1.7692000000000001</v>
      </c>
      <c r="W93" s="1">
        <v>101</v>
      </c>
      <c r="X93" s="1">
        <v>1</v>
      </c>
      <c r="Y93" s="1">
        <v>1.6301000000000001</v>
      </c>
      <c r="AB93" s="1">
        <v>-0.86799999999999999</v>
      </c>
      <c r="AC93" s="1">
        <v>6.1199999999999997E-2</v>
      </c>
      <c r="AD93" s="1">
        <v>3.1515</v>
      </c>
      <c r="AE93" s="1">
        <v>4.4603999999999999</v>
      </c>
      <c r="AF93" s="1">
        <v>2.0575999999999999</v>
      </c>
    </row>
    <row r="94" spans="1:32" s="1" customFormat="1" ht="11.25" x14ac:dyDescent="0.2">
      <c r="A94" s="1">
        <v>78</v>
      </c>
      <c r="B94" s="1">
        <v>1</v>
      </c>
      <c r="C94" s="1">
        <v>25.1</v>
      </c>
      <c r="D94" s="1">
        <v>1</v>
      </c>
      <c r="E94" s="1">
        <v>2.0026000000000002</v>
      </c>
      <c r="F94" s="1">
        <v>0.77790000000000004</v>
      </c>
      <c r="G94" s="1">
        <v>0.36680000000000001</v>
      </c>
      <c r="H94" s="1">
        <v>-0.55910000000000004</v>
      </c>
      <c r="I94" s="1">
        <v>5.9999999999999995E-4</v>
      </c>
      <c r="J94" s="1">
        <v>2.8007</v>
      </c>
      <c r="K94" s="1">
        <v>3.5446</v>
      </c>
      <c r="L94" s="1">
        <v>2.1145</v>
      </c>
      <c r="M94" s="1">
        <v>-55.4</v>
      </c>
      <c r="N94" s="1">
        <v>1</v>
      </c>
      <c r="O94" s="1">
        <v>2.3706999999999998</v>
      </c>
      <c r="P94" s="1">
        <v>0.88129999999999997</v>
      </c>
      <c r="Q94" s="1">
        <v>0.40389999999999998</v>
      </c>
      <c r="R94" s="1">
        <v>-0.44869999999999999</v>
      </c>
      <c r="S94" s="1">
        <v>2.5000000000000001E-3</v>
      </c>
      <c r="T94" s="1">
        <v>1.4624999999999999</v>
      </c>
      <c r="U94" s="1">
        <v>2.5689000000000002</v>
      </c>
      <c r="V94" s="1">
        <v>1.9623999999999999</v>
      </c>
      <c r="W94" s="1">
        <v>100.8</v>
      </c>
      <c r="X94" s="1">
        <v>1</v>
      </c>
      <c r="Y94" s="1">
        <v>1.5964</v>
      </c>
      <c r="AB94" s="1">
        <v>-0.66339999999999999</v>
      </c>
      <c r="AC94" s="1">
        <v>7.6600000000000001E-2</v>
      </c>
      <c r="AD94" s="1">
        <v>3.2462</v>
      </c>
      <c r="AE94" s="1">
        <v>4.5350999999999999</v>
      </c>
      <c r="AF94" s="1">
        <v>2.2707999999999999</v>
      </c>
    </row>
    <row r="95" spans="1:32" s="1" customFormat="1" ht="11.25" x14ac:dyDescent="0.2">
      <c r="A95" s="1">
        <v>79</v>
      </c>
      <c r="B95" s="1">
        <v>1</v>
      </c>
      <c r="C95" s="1">
        <v>25</v>
      </c>
      <c r="D95" s="1">
        <v>1</v>
      </c>
      <c r="E95" s="1">
        <v>2.1465999999999998</v>
      </c>
      <c r="F95" s="1">
        <v>0.78620000000000001</v>
      </c>
      <c r="G95" s="1">
        <v>0.54379999999999995</v>
      </c>
      <c r="H95" s="1">
        <v>-0.61429999999999996</v>
      </c>
      <c r="I95" s="1">
        <v>8.9999999999999998E-4</v>
      </c>
      <c r="J95" s="1">
        <v>2.8795999999999999</v>
      </c>
      <c r="K95" s="1">
        <v>3.6276999999999999</v>
      </c>
      <c r="L95" s="1">
        <v>1.7748999999999999</v>
      </c>
      <c r="M95" s="1">
        <v>-55.4</v>
      </c>
      <c r="N95" s="1">
        <v>1</v>
      </c>
      <c r="O95" s="1">
        <v>2.5411000000000001</v>
      </c>
      <c r="P95" s="1">
        <v>0.88560000000000005</v>
      </c>
      <c r="Q95" s="1">
        <v>0.38</v>
      </c>
      <c r="R95" s="1">
        <v>-0.63229999999999997</v>
      </c>
      <c r="S95" s="1">
        <v>2.8E-3</v>
      </c>
      <c r="T95" s="1">
        <v>1.3865000000000001</v>
      </c>
      <c r="U95" s="1">
        <v>2.6551</v>
      </c>
      <c r="V95" s="1">
        <v>1.6294999999999999</v>
      </c>
      <c r="W95" s="1">
        <v>101</v>
      </c>
      <c r="X95" s="1">
        <v>1</v>
      </c>
      <c r="Y95" s="1">
        <v>1.7374000000000001</v>
      </c>
      <c r="AB95" s="1">
        <v>-0.67889999999999995</v>
      </c>
      <c r="AC95" s="1">
        <v>6.3299999999999995E-2</v>
      </c>
      <c r="AD95" s="1">
        <v>3.1189</v>
      </c>
      <c r="AE95" s="1">
        <v>4.5845000000000002</v>
      </c>
      <c r="AF95" s="1">
        <v>1.9369000000000001</v>
      </c>
    </row>
    <row r="96" spans="1:32" s="1" customFormat="1" ht="11.25" x14ac:dyDescent="0.2">
      <c r="A96" s="1">
        <v>80</v>
      </c>
      <c r="B96" s="1">
        <v>1</v>
      </c>
      <c r="C96" s="1">
        <v>25.1</v>
      </c>
      <c r="D96" s="1">
        <v>1</v>
      </c>
      <c r="E96" s="1">
        <v>2.0093999999999999</v>
      </c>
      <c r="F96" s="1">
        <v>0.78039999999999998</v>
      </c>
      <c r="G96" s="1">
        <v>0.55059999999999998</v>
      </c>
      <c r="H96" s="1">
        <v>-0.63980000000000004</v>
      </c>
      <c r="I96" s="1">
        <v>6.9999999999999999E-4</v>
      </c>
      <c r="J96" s="1">
        <v>2.7397999999999998</v>
      </c>
      <c r="K96" s="1">
        <v>3.5084</v>
      </c>
      <c r="L96" s="1">
        <v>1.9396</v>
      </c>
      <c r="M96" s="1">
        <v>-55.4</v>
      </c>
      <c r="N96" s="1">
        <v>1</v>
      </c>
      <c r="O96" s="1">
        <v>2.3948999999999998</v>
      </c>
      <c r="P96" s="1">
        <v>0.88400000000000001</v>
      </c>
      <c r="Q96" s="1">
        <v>0.5877</v>
      </c>
      <c r="R96" s="1">
        <v>-0.78</v>
      </c>
      <c r="S96" s="1">
        <v>2.5000000000000001E-3</v>
      </c>
      <c r="T96" s="1">
        <v>1.4105000000000001</v>
      </c>
      <c r="U96" s="1">
        <v>2.5228999999999999</v>
      </c>
      <c r="V96" s="1">
        <v>1.7916000000000001</v>
      </c>
      <c r="W96" s="1">
        <v>101</v>
      </c>
      <c r="X96" s="1">
        <v>1</v>
      </c>
      <c r="Y96" s="1">
        <v>1.5768</v>
      </c>
      <c r="AB96" s="1">
        <v>-0.8306</v>
      </c>
      <c r="AC96" s="1">
        <v>9.5799999999999996E-2</v>
      </c>
      <c r="AD96" s="1">
        <v>3.2448999999999999</v>
      </c>
      <c r="AE96" s="1">
        <v>4.5408999999999997</v>
      </c>
      <c r="AF96" s="1">
        <v>2.0928</v>
      </c>
    </row>
    <row r="97" spans="1:32" s="1" customFormat="1" ht="11.25" x14ac:dyDescent="0.2">
      <c r="A97" s="1">
        <v>82</v>
      </c>
      <c r="B97" s="1">
        <v>1</v>
      </c>
      <c r="C97" s="1">
        <v>25</v>
      </c>
      <c r="D97" s="1">
        <v>1</v>
      </c>
      <c r="E97" s="1">
        <v>1.9628000000000001</v>
      </c>
      <c r="F97" s="1">
        <v>0.77700000000000002</v>
      </c>
      <c r="G97" s="1">
        <v>0.34520000000000001</v>
      </c>
      <c r="H97" s="1">
        <v>-0.39610000000000001</v>
      </c>
      <c r="I97" s="1">
        <v>1.1000000000000001E-3</v>
      </c>
      <c r="J97" s="1">
        <v>2.8963999999999999</v>
      </c>
      <c r="K97" s="1">
        <v>3.5135999999999998</v>
      </c>
      <c r="L97" s="1">
        <v>1.9767999999999999</v>
      </c>
      <c r="M97" s="1">
        <v>-55.5</v>
      </c>
      <c r="N97" s="1">
        <v>1</v>
      </c>
      <c r="O97" s="1">
        <v>2.3239000000000001</v>
      </c>
      <c r="P97" s="1">
        <v>0.88149999999999995</v>
      </c>
      <c r="Q97" s="1">
        <v>0.34889999999999999</v>
      </c>
      <c r="R97" s="1">
        <v>-0.52769999999999995</v>
      </c>
      <c r="S97" s="1">
        <v>3.3E-3</v>
      </c>
      <c r="T97" s="1">
        <v>1.3871</v>
      </c>
      <c r="U97" s="1">
        <v>2.5579999999999998</v>
      </c>
      <c r="V97" s="1">
        <v>1.8092999999999999</v>
      </c>
      <c r="W97" s="1">
        <v>100.8</v>
      </c>
      <c r="X97" s="1">
        <v>1</v>
      </c>
      <c r="Y97" s="1">
        <v>1.5768</v>
      </c>
      <c r="AB97" s="1">
        <v>-0.64270000000000005</v>
      </c>
      <c r="AC97" s="1">
        <v>7.4099999999999999E-2</v>
      </c>
      <c r="AD97" s="1">
        <v>3.2199</v>
      </c>
      <c r="AE97" s="1">
        <v>4.5316000000000001</v>
      </c>
      <c r="AF97" s="1">
        <v>2.2162000000000002</v>
      </c>
    </row>
    <row r="98" spans="1:32" s="1" customFormat="1" ht="11.25" x14ac:dyDescent="0.2">
      <c r="A98" s="1">
        <v>83</v>
      </c>
      <c r="B98" s="1">
        <v>1</v>
      </c>
      <c r="C98" s="1">
        <v>25</v>
      </c>
      <c r="D98" s="1">
        <v>1</v>
      </c>
      <c r="E98" s="1">
        <v>2.0363000000000002</v>
      </c>
      <c r="F98" s="1">
        <v>0.77790000000000004</v>
      </c>
      <c r="G98" s="1">
        <v>0.51910000000000001</v>
      </c>
      <c r="H98" s="1">
        <v>-0.63700000000000001</v>
      </c>
      <c r="I98" s="1">
        <v>8.0000000000000004E-4</v>
      </c>
      <c r="J98" s="1">
        <v>2.9283000000000001</v>
      </c>
      <c r="K98" s="1">
        <v>3.6461000000000001</v>
      </c>
      <c r="L98" s="1">
        <v>2.0514000000000001</v>
      </c>
      <c r="M98" s="1">
        <v>-55.5</v>
      </c>
      <c r="N98" s="1">
        <v>1</v>
      </c>
      <c r="O98" s="1">
        <v>2.4218000000000002</v>
      </c>
      <c r="P98" s="1">
        <v>0.88390000000000002</v>
      </c>
      <c r="Q98" s="1">
        <v>0.50529999999999997</v>
      </c>
      <c r="R98" s="1">
        <v>-0.45760000000000001</v>
      </c>
      <c r="S98" s="1">
        <v>2.8E-3</v>
      </c>
      <c r="T98" s="1">
        <v>1.4392</v>
      </c>
      <c r="U98" s="1">
        <v>2.6089000000000002</v>
      </c>
      <c r="V98" s="1">
        <v>1.9019999999999999</v>
      </c>
      <c r="W98" s="1">
        <v>101</v>
      </c>
      <c r="X98" s="1">
        <v>1</v>
      </c>
      <c r="Y98" s="1">
        <v>1.6172</v>
      </c>
      <c r="AB98" s="1">
        <v>-0.70440000000000003</v>
      </c>
      <c r="AC98" s="1">
        <v>8.4000000000000005E-2</v>
      </c>
      <c r="AD98" s="1">
        <v>3.2681</v>
      </c>
      <c r="AE98" s="1">
        <v>4.6990999999999996</v>
      </c>
      <c r="AF98" s="1">
        <v>2.1987999999999999</v>
      </c>
    </row>
    <row r="99" spans="1:32" s="1" customFormat="1" ht="11.25" x14ac:dyDescent="0.2">
      <c r="A99" s="1">
        <v>84</v>
      </c>
      <c r="B99" s="1">
        <v>1</v>
      </c>
      <c r="C99" s="1">
        <v>25</v>
      </c>
      <c r="D99" s="1">
        <v>1</v>
      </c>
      <c r="E99" s="1">
        <v>2.0055999999999998</v>
      </c>
      <c r="F99" s="1">
        <v>0.77859999999999996</v>
      </c>
      <c r="G99" s="1">
        <v>0.43309999999999998</v>
      </c>
      <c r="H99" s="1">
        <v>-0.59</v>
      </c>
      <c r="I99" s="1">
        <v>6.9999999999999999E-4</v>
      </c>
      <c r="J99" s="1">
        <v>2.9963000000000002</v>
      </c>
      <c r="K99" s="1">
        <v>3.5829</v>
      </c>
      <c r="L99" s="1">
        <v>2.129</v>
      </c>
      <c r="M99" s="1">
        <v>-55.6</v>
      </c>
      <c r="N99" s="1">
        <v>1</v>
      </c>
      <c r="O99" s="1">
        <v>2.3803999999999998</v>
      </c>
      <c r="P99" s="1">
        <v>0.88390000000000002</v>
      </c>
      <c r="Q99" s="1">
        <v>0.45760000000000001</v>
      </c>
      <c r="R99" s="1">
        <v>-0.6714</v>
      </c>
      <c r="S99" s="1">
        <v>2.8999999999999998E-3</v>
      </c>
      <c r="T99" s="1">
        <v>1.3957999999999999</v>
      </c>
      <c r="U99" s="1">
        <v>2.5543999999999998</v>
      </c>
      <c r="V99" s="1">
        <v>1.9731000000000001</v>
      </c>
      <c r="W99" s="1">
        <v>100.9</v>
      </c>
      <c r="X99" s="1">
        <v>1</v>
      </c>
      <c r="Y99" s="1">
        <v>1.5781000000000001</v>
      </c>
      <c r="AB99" s="1">
        <v>-0.80420000000000003</v>
      </c>
      <c r="AC99" s="1">
        <v>9.7000000000000003E-2</v>
      </c>
      <c r="AD99" s="1">
        <v>3.1779999999999999</v>
      </c>
      <c r="AE99" s="1">
        <v>4.6078999999999999</v>
      </c>
      <c r="AF99" s="1">
        <v>2.2894000000000001</v>
      </c>
    </row>
    <row r="100" spans="1:32" s="1" customFormat="1" ht="11.25" x14ac:dyDescent="0.2">
      <c r="A100" s="1">
        <v>85</v>
      </c>
      <c r="B100" s="1">
        <v>1</v>
      </c>
      <c r="C100" s="1">
        <v>24.9</v>
      </c>
      <c r="D100" s="1">
        <v>1</v>
      </c>
      <c r="E100" s="1">
        <v>2.069</v>
      </c>
      <c r="F100" s="1">
        <v>0.78180000000000005</v>
      </c>
      <c r="G100" s="1">
        <v>0.51470000000000005</v>
      </c>
      <c r="H100" s="1">
        <v>-0.48909999999999998</v>
      </c>
      <c r="I100" s="1">
        <v>1.1000000000000001E-3</v>
      </c>
      <c r="J100" s="1">
        <v>2.7219000000000002</v>
      </c>
      <c r="K100" s="1">
        <v>3.5748000000000002</v>
      </c>
      <c r="L100" s="1">
        <v>2.0182000000000002</v>
      </c>
      <c r="M100" s="1">
        <v>-55.7</v>
      </c>
      <c r="N100" s="1">
        <v>1</v>
      </c>
      <c r="O100" s="1">
        <v>2.4599000000000002</v>
      </c>
      <c r="P100" s="1">
        <v>0.88649999999999995</v>
      </c>
      <c r="Q100" s="1">
        <v>0.51829999999999998</v>
      </c>
      <c r="R100" s="1">
        <v>-0.41460000000000002</v>
      </c>
      <c r="S100" s="1">
        <v>2.3999999999999998E-3</v>
      </c>
      <c r="T100" s="1">
        <v>1.3614999999999999</v>
      </c>
      <c r="U100" s="1">
        <v>2.6006999999999998</v>
      </c>
      <c r="V100" s="1">
        <v>1.8645</v>
      </c>
      <c r="W100" s="1">
        <v>101</v>
      </c>
      <c r="X100" s="1">
        <v>1</v>
      </c>
      <c r="Y100" s="1">
        <v>1.6294999999999999</v>
      </c>
      <c r="AB100" s="1">
        <v>-0.87280000000000002</v>
      </c>
      <c r="AC100" s="1">
        <v>9.1700000000000004E-2</v>
      </c>
      <c r="AD100" s="1">
        <v>3.1619000000000002</v>
      </c>
      <c r="AE100" s="1">
        <v>4.6637000000000004</v>
      </c>
      <c r="AF100" s="1">
        <v>2.1722999999999999</v>
      </c>
    </row>
    <row r="101" spans="1:32" s="1" customFormat="1" ht="11.25" x14ac:dyDescent="0.2">
      <c r="A101" s="1">
        <v>86</v>
      </c>
      <c r="B101" s="1">
        <v>1</v>
      </c>
      <c r="C101" s="1">
        <v>25.1</v>
      </c>
      <c r="D101" s="1">
        <v>1</v>
      </c>
      <c r="E101" s="1">
        <v>1.9436</v>
      </c>
      <c r="F101" s="1">
        <v>0.77810000000000001</v>
      </c>
      <c r="G101" s="1">
        <v>0.41949999999999998</v>
      </c>
      <c r="H101" s="1">
        <v>-0.59360000000000002</v>
      </c>
      <c r="I101" s="1">
        <v>4.0000000000000002E-4</v>
      </c>
      <c r="J101" s="1">
        <v>3.0057999999999998</v>
      </c>
      <c r="K101" s="1">
        <v>3.5868000000000002</v>
      </c>
      <c r="L101" s="1">
        <v>2.2201</v>
      </c>
      <c r="M101" s="1">
        <v>-55.1</v>
      </c>
      <c r="N101" s="1">
        <v>1</v>
      </c>
      <c r="O101" s="1">
        <v>2.3197000000000001</v>
      </c>
      <c r="P101" s="1">
        <v>0.88400000000000001</v>
      </c>
      <c r="Q101" s="1">
        <v>0.39529999999999998</v>
      </c>
      <c r="R101" s="1">
        <v>-0.37769999999999998</v>
      </c>
      <c r="S101" s="1">
        <v>2.5000000000000001E-3</v>
      </c>
      <c r="T101" s="1">
        <v>1.3940999999999999</v>
      </c>
      <c r="U101" s="1">
        <v>2.5710000000000002</v>
      </c>
      <c r="V101" s="1">
        <v>2.0377000000000001</v>
      </c>
      <c r="W101" s="1">
        <v>100.9</v>
      </c>
      <c r="X101" s="1">
        <v>1</v>
      </c>
      <c r="Y101" s="1">
        <v>1.5291999999999999</v>
      </c>
      <c r="AB101" s="1">
        <v>-0.88790000000000002</v>
      </c>
      <c r="AC101" s="1">
        <v>8.2199999999999995E-2</v>
      </c>
      <c r="AD101" s="1">
        <v>3.2292999999999998</v>
      </c>
      <c r="AE101" s="1">
        <v>4.6185999999999998</v>
      </c>
      <c r="AF101" s="1">
        <v>2.3694999999999999</v>
      </c>
    </row>
    <row r="102" spans="1:32" s="1" customFormat="1" ht="11.25" x14ac:dyDescent="0.2">
      <c r="A102" s="1">
        <v>87</v>
      </c>
      <c r="B102" s="1">
        <v>1</v>
      </c>
      <c r="C102" s="1">
        <v>25</v>
      </c>
      <c r="D102" s="1">
        <v>1</v>
      </c>
      <c r="E102" s="1">
        <v>2.0528</v>
      </c>
      <c r="F102" s="1">
        <v>0.77759999999999996</v>
      </c>
      <c r="G102" s="1">
        <v>0.56540000000000001</v>
      </c>
      <c r="H102" s="1">
        <v>-0.61670000000000003</v>
      </c>
      <c r="I102" s="1">
        <v>6.9999999999999999E-4</v>
      </c>
      <c r="J102" s="1">
        <v>2.8666999999999998</v>
      </c>
      <c r="K102" s="1">
        <v>3.5878000000000001</v>
      </c>
      <c r="L102" s="1">
        <v>2.1040000000000001</v>
      </c>
      <c r="M102" s="1">
        <v>-55.3</v>
      </c>
      <c r="N102" s="1">
        <v>1</v>
      </c>
      <c r="O102" s="1">
        <v>2.4535999999999998</v>
      </c>
      <c r="P102" s="1">
        <v>0.88380000000000003</v>
      </c>
      <c r="Q102" s="1">
        <v>0.54310000000000003</v>
      </c>
      <c r="R102" s="1">
        <v>-0.57679999999999998</v>
      </c>
      <c r="S102" s="1">
        <v>2.5000000000000001E-3</v>
      </c>
      <c r="T102" s="1">
        <v>1.3033999999999999</v>
      </c>
      <c r="U102" s="1">
        <v>2.6051000000000002</v>
      </c>
      <c r="V102" s="1">
        <v>1.9509000000000001</v>
      </c>
      <c r="W102" s="1">
        <v>100.9</v>
      </c>
      <c r="X102" s="1">
        <v>1</v>
      </c>
      <c r="Y102" s="1">
        <v>1.6311</v>
      </c>
      <c r="AB102" s="1">
        <v>-0.67079999999999995</v>
      </c>
      <c r="AC102" s="1">
        <v>7.9699999999999993E-2</v>
      </c>
      <c r="AD102" s="1">
        <v>3.2612000000000001</v>
      </c>
      <c r="AE102" s="1">
        <v>4.6241000000000003</v>
      </c>
      <c r="AF102" s="1">
        <v>2.2606999999999999</v>
      </c>
    </row>
    <row r="103" spans="1:32" s="1" customFormat="1" ht="11.25" x14ac:dyDescent="0.2">
      <c r="A103" s="1">
        <v>88</v>
      </c>
      <c r="B103" s="1">
        <v>1</v>
      </c>
      <c r="C103" s="1">
        <v>25</v>
      </c>
      <c r="D103" s="1">
        <v>1</v>
      </c>
      <c r="E103" s="1">
        <v>2.0278999999999998</v>
      </c>
      <c r="F103" s="1">
        <v>0.78800000000000003</v>
      </c>
      <c r="G103" s="1">
        <v>0.34010000000000001</v>
      </c>
      <c r="H103" s="1">
        <v>-0.35370000000000001</v>
      </c>
      <c r="I103" s="1">
        <v>1.1000000000000001E-3</v>
      </c>
      <c r="J103" s="1">
        <v>3.0470000000000002</v>
      </c>
      <c r="K103" s="1">
        <v>4.0805999999999996</v>
      </c>
      <c r="L103" s="1">
        <v>1.7861</v>
      </c>
      <c r="M103" s="1">
        <v>-55.3</v>
      </c>
      <c r="N103" s="1">
        <v>1</v>
      </c>
      <c r="O103" s="1">
        <v>2.3654999999999999</v>
      </c>
      <c r="P103" s="1">
        <v>0.88090000000000002</v>
      </c>
      <c r="Q103" s="1">
        <v>0.30220000000000002</v>
      </c>
      <c r="R103" s="1">
        <v>-0.31530000000000002</v>
      </c>
      <c r="S103" s="1">
        <v>4.1999999999999997E-3</v>
      </c>
      <c r="T103" s="1">
        <v>1.3926000000000001</v>
      </c>
      <c r="U103" s="1">
        <v>3.2012999999999998</v>
      </c>
      <c r="V103" s="1">
        <v>1.6509</v>
      </c>
      <c r="W103" s="1">
        <v>100.6</v>
      </c>
      <c r="X103" s="1">
        <v>1</v>
      </c>
      <c r="Y103" s="1">
        <v>1.7875000000000001</v>
      </c>
      <c r="AB103" s="1">
        <v>-0.50019999999999998</v>
      </c>
      <c r="AC103" s="1">
        <v>1.77E-2</v>
      </c>
      <c r="AD103" s="1">
        <v>3.0377000000000001</v>
      </c>
      <c r="AE103" s="1">
        <v>4.7854000000000001</v>
      </c>
      <c r="AF103" s="1">
        <v>1.8919999999999999</v>
      </c>
    </row>
    <row r="104" spans="1:32" s="1" customFormat="1" ht="11.25" x14ac:dyDescent="0.2">
      <c r="A104" s="1">
        <v>89</v>
      </c>
      <c r="B104" s="1">
        <v>1</v>
      </c>
      <c r="C104" s="1">
        <v>25</v>
      </c>
      <c r="D104" s="1">
        <v>1</v>
      </c>
      <c r="E104" s="1">
        <v>1.9927999999999999</v>
      </c>
      <c r="F104" s="1">
        <v>0.78249999999999997</v>
      </c>
      <c r="G104" s="1">
        <v>0.51859999999999995</v>
      </c>
      <c r="H104" s="1">
        <v>-0.60640000000000005</v>
      </c>
      <c r="I104" s="1">
        <v>5.0000000000000001E-4</v>
      </c>
      <c r="J104" s="1">
        <v>2.8241000000000001</v>
      </c>
      <c r="K104" s="1">
        <v>3.6092</v>
      </c>
      <c r="L104" s="1">
        <v>2.1135999999999999</v>
      </c>
      <c r="M104" s="1">
        <v>-55.3</v>
      </c>
      <c r="N104" s="1">
        <v>1</v>
      </c>
      <c r="O104" s="1">
        <v>2.3237000000000001</v>
      </c>
      <c r="P104" s="1">
        <v>0.87670000000000003</v>
      </c>
      <c r="Q104" s="1">
        <v>0.27089999999999997</v>
      </c>
      <c r="R104" s="1">
        <v>-0.40489999999999998</v>
      </c>
      <c r="S104" s="1">
        <v>4.1000000000000003E-3</v>
      </c>
      <c r="T104" s="1">
        <v>1.4523999999999999</v>
      </c>
      <c r="U104" s="1">
        <v>2.6640000000000001</v>
      </c>
      <c r="V104" s="1">
        <v>1.9701</v>
      </c>
      <c r="W104" s="1">
        <v>101.1</v>
      </c>
      <c r="X104" s="1">
        <v>1</v>
      </c>
      <c r="Y104" s="1">
        <v>1.6429</v>
      </c>
      <c r="AB104" s="1">
        <v>-0.71009999999999995</v>
      </c>
      <c r="AC104" s="1">
        <v>4.4299999999999999E-2</v>
      </c>
      <c r="AD104" s="1">
        <v>3.1450999999999998</v>
      </c>
      <c r="AE104" s="1">
        <v>4.5174000000000003</v>
      </c>
      <c r="AF104" s="1">
        <v>2.2536</v>
      </c>
    </row>
    <row r="105" spans="1:32" s="1" customFormat="1" ht="11.25" x14ac:dyDescent="0.2">
      <c r="A105" s="1">
        <v>90</v>
      </c>
      <c r="B105" s="1">
        <v>1</v>
      </c>
      <c r="C105" s="1">
        <v>25</v>
      </c>
      <c r="D105" s="1">
        <v>1</v>
      </c>
      <c r="E105" s="1">
        <v>2.2187999999999999</v>
      </c>
      <c r="F105" s="1">
        <v>0.78520000000000001</v>
      </c>
      <c r="G105" s="1">
        <v>0.47199999999999998</v>
      </c>
      <c r="H105" s="1">
        <v>-0.43980000000000002</v>
      </c>
      <c r="I105" s="1">
        <v>1E-3</v>
      </c>
      <c r="J105" s="1">
        <v>2.9136000000000002</v>
      </c>
      <c r="K105" s="1">
        <v>3.7370000000000001</v>
      </c>
      <c r="L105" s="1">
        <v>1.8846000000000001</v>
      </c>
      <c r="M105" s="1">
        <v>-55.5</v>
      </c>
      <c r="N105" s="1">
        <v>1</v>
      </c>
      <c r="O105" s="1">
        <v>2.6012</v>
      </c>
      <c r="P105" s="1">
        <v>0.87490000000000001</v>
      </c>
      <c r="Q105" s="1">
        <v>0.38579999999999998</v>
      </c>
      <c r="R105" s="1">
        <v>-0.33710000000000001</v>
      </c>
      <c r="S105" s="1">
        <v>2.5999999999999999E-3</v>
      </c>
      <c r="T105" s="1">
        <v>1.4894000000000001</v>
      </c>
      <c r="U105" s="1">
        <v>2.8184999999999998</v>
      </c>
      <c r="V105" s="1">
        <v>1.7569999999999999</v>
      </c>
      <c r="W105" s="1">
        <v>100.9</v>
      </c>
      <c r="X105" s="1">
        <v>1</v>
      </c>
      <c r="Y105" s="1">
        <v>1.8620000000000001</v>
      </c>
      <c r="AB105" s="1">
        <v>-0.52139999999999997</v>
      </c>
      <c r="AC105" s="1">
        <v>2.8799999999999999E-2</v>
      </c>
      <c r="AD105" s="1">
        <v>2.9643999999999999</v>
      </c>
      <c r="AE105" s="1">
        <v>4.5571999999999999</v>
      </c>
      <c r="AF105" s="1">
        <v>2.0245000000000002</v>
      </c>
    </row>
    <row r="106" spans="1:32" s="1" customFormat="1" ht="11.25" x14ac:dyDescent="0.2">
      <c r="A106" s="1">
        <v>91</v>
      </c>
      <c r="B106" s="1">
        <v>1</v>
      </c>
      <c r="C106" s="1">
        <v>25</v>
      </c>
      <c r="D106" s="1">
        <v>1</v>
      </c>
      <c r="E106" s="1">
        <v>1.9356</v>
      </c>
      <c r="F106" s="1">
        <v>0.77639999999999998</v>
      </c>
      <c r="G106" s="1">
        <v>0.31990000000000002</v>
      </c>
      <c r="H106" s="1">
        <v>-0.4143</v>
      </c>
      <c r="I106" s="1">
        <v>1E-3</v>
      </c>
      <c r="J106" s="1">
        <v>2.9445000000000001</v>
      </c>
      <c r="K106" s="1">
        <v>3.5474999999999999</v>
      </c>
      <c r="L106" s="1">
        <v>2.2654000000000001</v>
      </c>
      <c r="M106" s="1">
        <v>-55.3</v>
      </c>
      <c r="N106" s="1">
        <v>1</v>
      </c>
      <c r="O106" s="1">
        <v>2.3123999999999998</v>
      </c>
      <c r="P106" s="1">
        <v>0.88029999999999997</v>
      </c>
      <c r="Q106" s="1">
        <v>0.2944</v>
      </c>
      <c r="R106" s="1">
        <v>-0.4042</v>
      </c>
      <c r="S106" s="1">
        <v>3.5000000000000001E-3</v>
      </c>
      <c r="T106" s="1">
        <v>1.3683000000000001</v>
      </c>
      <c r="U106" s="1">
        <v>2.5615000000000001</v>
      </c>
      <c r="V106" s="1">
        <v>2.1103999999999998</v>
      </c>
      <c r="W106" s="1">
        <v>101</v>
      </c>
      <c r="X106" s="1">
        <v>1</v>
      </c>
      <c r="Y106" s="1">
        <v>1.5498000000000001</v>
      </c>
      <c r="AB106" s="1">
        <v>-0.75460000000000005</v>
      </c>
      <c r="AC106" s="1">
        <v>6.5699999999999995E-2</v>
      </c>
      <c r="AD106" s="1">
        <v>3.1480000000000001</v>
      </c>
      <c r="AE106" s="1">
        <v>4.5799000000000003</v>
      </c>
      <c r="AF106" s="1">
        <v>2.4089</v>
      </c>
    </row>
    <row r="107" spans="1:32" s="1" customFormat="1" ht="11.25" x14ac:dyDescent="0.2">
      <c r="A107" s="1">
        <v>92</v>
      </c>
      <c r="B107" s="1">
        <v>1</v>
      </c>
      <c r="C107" s="1">
        <v>25</v>
      </c>
      <c r="D107" s="1">
        <v>1</v>
      </c>
      <c r="E107" s="1">
        <v>2.0154000000000001</v>
      </c>
      <c r="F107" s="1">
        <v>0.78029999999999999</v>
      </c>
      <c r="G107" s="1">
        <v>0.30640000000000001</v>
      </c>
      <c r="H107" s="1">
        <v>-0.58550000000000002</v>
      </c>
      <c r="I107" s="1">
        <v>5.9999999999999995E-4</v>
      </c>
      <c r="J107" s="1">
        <v>2.9962</v>
      </c>
      <c r="K107" s="1">
        <v>3.6391</v>
      </c>
      <c r="L107" s="1">
        <v>2.0670000000000002</v>
      </c>
      <c r="M107" s="1">
        <v>-55.4</v>
      </c>
      <c r="N107" s="1">
        <v>1</v>
      </c>
      <c r="O107" s="1">
        <v>2.3557999999999999</v>
      </c>
      <c r="P107" s="1">
        <v>0.87660000000000005</v>
      </c>
      <c r="Q107" s="1">
        <v>0.50949999999999995</v>
      </c>
      <c r="R107" s="1">
        <v>-0.42230000000000001</v>
      </c>
      <c r="S107" s="1">
        <v>2.5000000000000001E-3</v>
      </c>
      <c r="T107" s="1">
        <v>1.4448000000000001</v>
      </c>
      <c r="U107" s="1">
        <v>2.6640000000000001</v>
      </c>
      <c r="V107" s="1">
        <v>1.9227000000000001</v>
      </c>
      <c r="W107" s="1">
        <v>101.1</v>
      </c>
      <c r="X107" s="1">
        <v>1</v>
      </c>
      <c r="Y107" s="1">
        <v>1.6529</v>
      </c>
      <c r="AB107" s="1">
        <v>-0.61450000000000005</v>
      </c>
      <c r="AC107" s="1">
        <v>4.9399999999999999E-2</v>
      </c>
      <c r="AD107" s="1">
        <v>3.1225999999999998</v>
      </c>
      <c r="AE107" s="1">
        <v>4.5895999999999999</v>
      </c>
      <c r="AF107" s="1">
        <v>2.21</v>
      </c>
    </row>
    <row r="108" spans="1:32" s="1" customFormat="1" ht="11.25" x14ac:dyDescent="0.2">
      <c r="A108" s="1">
        <v>93</v>
      </c>
      <c r="B108" s="1">
        <v>1</v>
      </c>
      <c r="C108" s="1">
        <v>25</v>
      </c>
      <c r="D108" s="1">
        <v>1</v>
      </c>
      <c r="E108" s="1">
        <v>2.2078000000000002</v>
      </c>
      <c r="F108" s="1">
        <v>0.78690000000000004</v>
      </c>
      <c r="G108" s="1">
        <v>0.309</v>
      </c>
      <c r="H108" s="1">
        <v>-0.42120000000000002</v>
      </c>
      <c r="I108" s="1">
        <v>1.1000000000000001E-3</v>
      </c>
      <c r="J108" s="1">
        <v>2.7690999999999999</v>
      </c>
      <c r="K108" s="1">
        <v>3.6814</v>
      </c>
      <c r="L108" s="1">
        <v>1.7302999999999999</v>
      </c>
      <c r="M108" s="1">
        <v>-55.5</v>
      </c>
      <c r="N108" s="1">
        <v>1</v>
      </c>
      <c r="O108" s="1">
        <v>2.5920999999999998</v>
      </c>
      <c r="P108" s="1">
        <v>0.88329999999999997</v>
      </c>
      <c r="Q108" s="1">
        <v>0.40560000000000002</v>
      </c>
      <c r="R108" s="1">
        <v>-0.54239999999999999</v>
      </c>
      <c r="S108" s="1">
        <v>3.7000000000000002E-3</v>
      </c>
      <c r="T108" s="1">
        <v>1.3402000000000001</v>
      </c>
      <c r="U108" s="1">
        <v>2.8454999999999999</v>
      </c>
      <c r="V108" s="1">
        <v>1.5940000000000001</v>
      </c>
      <c r="W108" s="1">
        <v>100.9</v>
      </c>
      <c r="X108" s="1">
        <v>1</v>
      </c>
      <c r="Y108" s="1">
        <v>1.8109</v>
      </c>
      <c r="AB108" s="1">
        <v>-0.9002</v>
      </c>
      <c r="AC108" s="1">
        <v>6.0999999999999999E-2</v>
      </c>
      <c r="AD108" s="1">
        <v>3.0587</v>
      </c>
      <c r="AE108" s="1">
        <v>4.6444000000000001</v>
      </c>
      <c r="AF108" s="1">
        <v>1.8593</v>
      </c>
    </row>
    <row r="109" spans="1:32" s="1" customFormat="1" ht="11.25" x14ac:dyDescent="0.2">
      <c r="A109" s="1">
        <v>94</v>
      </c>
      <c r="B109" s="1">
        <v>1</v>
      </c>
      <c r="C109" s="1">
        <v>25</v>
      </c>
      <c r="D109" s="1">
        <v>1</v>
      </c>
      <c r="E109" s="1">
        <v>1.9478</v>
      </c>
      <c r="F109" s="1">
        <v>0.77749999999999997</v>
      </c>
      <c r="G109" s="1">
        <v>0.50790000000000002</v>
      </c>
      <c r="H109" s="1">
        <v>-0.59299999999999997</v>
      </c>
      <c r="I109" s="1">
        <v>6.9999999999999999E-4</v>
      </c>
      <c r="J109" s="1">
        <v>2.9537</v>
      </c>
      <c r="K109" s="1">
        <v>3.5087999999999999</v>
      </c>
      <c r="L109" s="1">
        <v>2.1431</v>
      </c>
      <c r="M109" s="1">
        <v>-55.4</v>
      </c>
      <c r="N109" s="1">
        <v>1</v>
      </c>
      <c r="O109" s="1">
        <v>2.3008999999999999</v>
      </c>
      <c r="P109" s="1">
        <v>0.87490000000000001</v>
      </c>
      <c r="Q109" s="1">
        <v>0.41</v>
      </c>
      <c r="R109" s="1">
        <v>-0.53100000000000003</v>
      </c>
      <c r="S109" s="1">
        <v>2.3E-3</v>
      </c>
      <c r="T109" s="1">
        <v>1.4356</v>
      </c>
      <c r="U109" s="1">
        <v>2.6181000000000001</v>
      </c>
      <c r="V109" s="1">
        <v>1.9964</v>
      </c>
      <c r="W109" s="1">
        <v>100.4</v>
      </c>
      <c r="X109" s="1">
        <v>1</v>
      </c>
      <c r="Y109" s="1">
        <v>1.5751999999999999</v>
      </c>
      <c r="AB109" s="1">
        <v>-0.75870000000000004</v>
      </c>
      <c r="AC109" s="1">
        <v>5.8700000000000002E-2</v>
      </c>
      <c r="AD109" s="1">
        <v>3.2111000000000001</v>
      </c>
      <c r="AE109" s="1">
        <v>4.5476000000000001</v>
      </c>
      <c r="AF109" s="1">
        <v>2.2877999999999998</v>
      </c>
    </row>
    <row r="110" spans="1:32" s="1" customFormat="1" ht="11.25" x14ac:dyDescent="0.2">
      <c r="A110" s="1">
        <v>95</v>
      </c>
      <c r="B110" s="1">
        <v>1</v>
      </c>
      <c r="C110" s="1">
        <v>25</v>
      </c>
      <c r="D110" s="1">
        <v>1</v>
      </c>
      <c r="E110" s="1">
        <v>2.0354999999999999</v>
      </c>
      <c r="F110" s="1">
        <v>0.7762</v>
      </c>
      <c r="G110" s="1">
        <v>0.55889999999999995</v>
      </c>
      <c r="H110" s="1">
        <v>-0.62260000000000004</v>
      </c>
      <c r="I110" s="1">
        <v>8.9999999999999998E-4</v>
      </c>
      <c r="J110" s="1">
        <v>2.9420000000000002</v>
      </c>
      <c r="K110" s="1">
        <v>3.6204000000000001</v>
      </c>
      <c r="L110" s="1">
        <v>2.1421000000000001</v>
      </c>
      <c r="M110" s="1">
        <v>-55.5</v>
      </c>
      <c r="N110" s="1">
        <v>1</v>
      </c>
      <c r="O110" s="1">
        <v>2.3873000000000002</v>
      </c>
      <c r="P110" s="1">
        <v>0.86990000000000001</v>
      </c>
      <c r="Q110" s="1">
        <v>0.4864</v>
      </c>
      <c r="R110" s="1">
        <v>-0.51700000000000002</v>
      </c>
      <c r="S110" s="1">
        <v>3.2000000000000002E-3</v>
      </c>
      <c r="T110" s="1">
        <v>1.3551</v>
      </c>
      <c r="U110" s="1">
        <v>2.7168000000000001</v>
      </c>
      <c r="V110" s="1">
        <v>2.0026999999999999</v>
      </c>
      <c r="W110" s="1">
        <v>101.2</v>
      </c>
      <c r="X110" s="1">
        <v>1</v>
      </c>
      <c r="Y110" s="1">
        <v>1.7014</v>
      </c>
      <c r="AB110" s="1">
        <v>-0.81399999999999995</v>
      </c>
      <c r="AC110" s="1">
        <v>3.61E-2</v>
      </c>
      <c r="AD110" s="1">
        <v>2.9906000000000001</v>
      </c>
      <c r="AE110" s="1">
        <v>4.4439000000000002</v>
      </c>
      <c r="AF110" s="1">
        <v>2.2732999999999999</v>
      </c>
    </row>
    <row r="111" spans="1:32" s="1" customFormat="1" ht="11.25" x14ac:dyDescent="0.2">
      <c r="A111" s="1">
        <v>96</v>
      </c>
      <c r="B111" s="1">
        <v>1</v>
      </c>
      <c r="C111" s="1">
        <v>25</v>
      </c>
      <c r="D111" s="1">
        <v>1</v>
      </c>
      <c r="E111" s="1">
        <v>1.9881</v>
      </c>
      <c r="F111" s="1">
        <v>0.78010000000000002</v>
      </c>
      <c r="G111" s="1">
        <v>0.32769999999999999</v>
      </c>
      <c r="H111" s="1">
        <v>-0.38369999999999999</v>
      </c>
      <c r="I111" s="1">
        <v>1E-3</v>
      </c>
      <c r="J111" s="1">
        <v>2.9382000000000001</v>
      </c>
      <c r="K111" s="1">
        <v>3.5720000000000001</v>
      </c>
      <c r="L111" s="1">
        <v>1.8631</v>
      </c>
      <c r="M111" s="1">
        <v>-55.3</v>
      </c>
      <c r="N111" s="1">
        <v>1</v>
      </c>
      <c r="O111" s="1">
        <v>2.3218999999999999</v>
      </c>
      <c r="P111" s="1">
        <v>0.87480000000000002</v>
      </c>
      <c r="Q111" s="1">
        <v>0.47549999999999998</v>
      </c>
      <c r="R111" s="1">
        <v>-0.40229999999999999</v>
      </c>
      <c r="S111" s="1">
        <v>2.7000000000000001E-3</v>
      </c>
      <c r="T111" s="1">
        <v>1.4086000000000001</v>
      </c>
      <c r="U111" s="1">
        <v>2.6381000000000001</v>
      </c>
      <c r="V111" s="1">
        <v>1.7267999999999999</v>
      </c>
      <c r="W111" s="1">
        <v>101</v>
      </c>
      <c r="X111" s="1">
        <v>1</v>
      </c>
      <c r="Y111" s="1">
        <v>1.659</v>
      </c>
      <c r="AB111" s="1">
        <v>-0.66910000000000003</v>
      </c>
      <c r="AC111" s="1">
        <v>4.3099999999999999E-2</v>
      </c>
      <c r="AD111" s="1">
        <v>3.0103</v>
      </c>
      <c r="AE111" s="1">
        <v>4.4428000000000001</v>
      </c>
      <c r="AF111" s="1">
        <v>1.9896</v>
      </c>
    </row>
    <row r="112" spans="1:32" s="1" customFormat="1" ht="11.25" x14ac:dyDescent="0.2">
      <c r="A112" s="1">
        <v>97</v>
      </c>
      <c r="B112" s="1">
        <v>1</v>
      </c>
      <c r="C112" s="1">
        <v>25</v>
      </c>
      <c r="D112" s="1">
        <v>1</v>
      </c>
      <c r="E112" s="1">
        <v>1.9681999999999999</v>
      </c>
      <c r="F112" s="1">
        <v>0.77780000000000005</v>
      </c>
      <c r="G112" s="1">
        <v>0.52990000000000004</v>
      </c>
      <c r="H112" s="1">
        <v>-0.5978</v>
      </c>
      <c r="I112" s="1">
        <v>8.0000000000000004E-4</v>
      </c>
      <c r="J112" s="1">
        <v>2.7096</v>
      </c>
      <c r="K112" s="1">
        <v>3.4681000000000002</v>
      </c>
      <c r="L112" s="1">
        <v>2.0356999999999998</v>
      </c>
      <c r="M112" s="1">
        <v>-55.5</v>
      </c>
      <c r="N112" s="1">
        <v>1</v>
      </c>
      <c r="O112" s="1">
        <v>2.3233999999999999</v>
      </c>
      <c r="P112" s="1">
        <v>0.87519999999999998</v>
      </c>
      <c r="Q112" s="1">
        <v>0.39779999999999999</v>
      </c>
      <c r="R112" s="1">
        <v>-0.3619</v>
      </c>
      <c r="S112" s="1">
        <v>2.8999999999999998E-3</v>
      </c>
      <c r="T112" s="1">
        <v>1.4087000000000001</v>
      </c>
      <c r="U112" s="1">
        <v>2.6154000000000002</v>
      </c>
      <c r="V112" s="1">
        <v>1.8897999999999999</v>
      </c>
      <c r="W112" s="1">
        <v>101</v>
      </c>
      <c r="X112" s="1">
        <v>1</v>
      </c>
      <c r="Y112" s="1">
        <v>1.6155999999999999</v>
      </c>
      <c r="AB112" s="1">
        <v>-0.5595</v>
      </c>
      <c r="AC112" s="1">
        <v>4.7100000000000003E-2</v>
      </c>
      <c r="AD112" s="1">
        <v>3.0217000000000001</v>
      </c>
      <c r="AE112" s="1">
        <v>4.4428000000000001</v>
      </c>
      <c r="AF112" s="1">
        <v>2.1804000000000001</v>
      </c>
    </row>
    <row r="113" spans="1:32" s="1" customFormat="1" ht="11.25" x14ac:dyDescent="0.2">
      <c r="A113" s="1">
        <v>99</v>
      </c>
      <c r="B113" s="1">
        <v>1</v>
      </c>
      <c r="C113" s="1">
        <v>25</v>
      </c>
      <c r="D113" s="1">
        <v>1</v>
      </c>
      <c r="E113" s="1">
        <v>2.0318000000000001</v>
      </c>
      <c r="F113" s="1">
        <v>0.7802</v>
      </c>
      <c r="G113" s="1">
        <v>0.51329999999999998</v>
      </c>
      <c r="H113" s="1">
        <v>-0.48060000000000003</v>
      </c>
      <c r="I113" s="1">
        <v>8.9999999999999998E-4</v>
      </c>
      <c r="J113" s="1">
        <v>2.7770999999999999</v>
      </c>
      <c r="K113" s="1">
        <v>3.5764</v>
      </c>
      <c r="L113" s="1">
        <v>2.0644</v>
      </c>
      <c r="M113" s="1">
        <v>-55.4</v>
      </c>
      <c r="N113" s="1">
        <v>1</v>
      </c>
      <c r="O113" s="1">
        <v>2.36</v>
      </c>
      <c r="P113" s="1">
        <v>0.86939999999999995</v>
      </c>
      <c r="Q113" s="1">
        <v>0.37630000000000002</v>
      </c>
      <c r="R113" s="1">
        <v>-0.33400000000000002</v>
      </c>
      <c r="S113" s="1">
        <v>3.8999999999999998E-3</v>
      </c>
      <c r="T113" s="1">
        <v>1.4038999999999999</v>
      </c>
      <c r="U113" s="1">
        <v>2.6516999999999999</v>
      </c>
      <c r="V113" s="1">
        <v>1.9293</v>
      </c>
      <c r="W113" s="1">
        <v>100.7</v>
      </c>
      <c r="X113" s="1">
        <v>1</v>
      </c>
      <c r="Y113" s="1">
        <v>1.7152000000000001</v>
      </c>
      <c r="AB113" s="1">
        <v>-0.78300000000000003</v>
      </c>
      <c r="AC113" s="1">
        <v>2.9899999999999999E-2</v>
      </c>
      <c r="AD113" s="1">
        <v>3.0589</v>
      </c>
      <c r="AE113" s="1">
        <v>4.3974000000000002</v>
      </c>
      <c r="AF113" s="1">
        <v>2.1920000000000002</v>
      </c>
    </row>
    <row r="114" spans="1:32" s="1" customFormat="1" ht="11.25" x14ac:dyDescent="0.2">
      <c r="A114" s="1">
        <v>100</v>
      </c>
      <c r="B114" s="1">
        <v>1</v>
      </c>
      <c r="C114" s="1">
        <v>25</v>
      </c>
      <c r="D114" s="1">
        <v>1</v>
      </c>
      <c r="E114" s="1">
        <v>2.0404</v>
      </c>
      <c r="F114" s="1">
        <v>0.78690000000000004</v>
      </c>
      <c r="G114" s="1">
        <v>0.54220000000000002</v>
      </c>
      <c r="H114" s="1">
        <v>-0.58889999999999998</v>
      </c>
      <c r="I114" s="1">
        <v>6.9999999999999999E-4</v>
      </c>
      <c r="J114" s="1">
        <v>2.6962000000000002</v>
      </c>
      <c r="K114" s="1">
        <v>4.1143999999999998</v>
      </c>
      <c r="L114" s="1">
        <v>1.804</v>
      </c>
      <c r="M114" s="1">
        <v>-55.4</v>
      </c>
      <c r="N114" s="1">
        <v>1</v>
      </c>
      <c r="O114" s="1">
        <v>2.3809</v>
      </c>
      <c r="P114" s="1">
        <v>0.88160000000000005</v>
      </c>
      <c r="Q114" s="1">
        <v>0.46039999999999998</v>
      </c>
      <c r="R114" s="1">
        <v>-0.46060000000000001</v>
      </c>
      <c r="S114" s="1">
        <v>4.1000000000000003E-3</v>
      </c>
      <c r="T114" s="1">
        <v>1.3741000000000001</v>
      </c>
      <c r="U114" s="1">
        <v>3.1648000000000001</v>
      </c>
      <c r="V114" s="1">
        <v>1.6668000000000001</v>
      </c>
      <c r="W114" s="1">
        <v>100.9</v>
      </c>
      <c r="X114" s="1">
        <v>1</v>
      </c>
      <c r="Y114" s="1">
        <v>1.7045999999999999</v>
      </c>
      <c r="AB114" s="1">
        <v>-0.70220000000000005</v>
      </c>
      <c r="AC114" s="1">
        <v>4.6600000000000003E-2</v>
      </c>
      <c r="AD114" s="1">
        <v>2.9828999999999999</v>
      </c>
      <c r="AE114" s="1">
        <v>5.0635000000000003</v>
      </c>
      <c r="AF114" s="1">
        <v>1.9308000000000001</v>
      </c>
    </row>
    <row r="115" spans="1:32" s="1" customFormat="1" ht="11.25" x14ac:dyDescent="0.2">
      <c r="A115" s="1">
        <v>101</v>
      </c>
      <c r="B115" s="1">
        <v>1</v>
      </c>
      <c r="C115" s="1">
        <v>24.9</v>
      </c>
      <c r="D115" s="1">
        <v>1</v>
      </c>
      <c r="E115" s="1">
        <v>2.0230000000000001</v>
      </c>
      <c r="F115" s="1">
        <v>0.77600000000000002</v>
      </c>
      <c r="G115" s="1">
        <v>0.3528</v>
      </c>
      <c r="H115" s="1">
        <v>-0.5363</v>
      </c>
      <c r="I115" s="1">
        <v>2.9999999999999997E-4</v>
      </c>
      <c r="J115" s="1">
        <v>2.8883999999999999</v>
      </c>
      <c r="K115" s="1">
        <v>3.59</v>
      </c>
      <c r="L115" s="1">
        <v>2.2625000000000002</v>
      </c>
      <c r="M115" s="1">
        <v>-55.4</v>
      </c>
      <c r="N115" s="1">
        <v>1</v>
      </c>
      <c r="O115" s="1">
        <v>2.3744999999999998</v>
      </c>
      <c r="P115" s="1">
        <v>0.87180000000000002</v>
      </c>
      <c r="Q115" s="1">
        <v>0.50529999999999997</v>
      </c>
      <c r="R115" s="1">
        <v>-0.51400000000000001</v>
      </c>
      <c r="S115" s="1">
        <v>3.0999999999999999E-3</v>
      </c>
      <c r="T115" s="1">
        <v>1.5791999999999999</v>
      </c>
      <c r="U115" s="1">
        <v>2.7309999999999999</v>
      </c>
      <c r="V115" s="1">
        <v>2.1147</v>
      </c>
      <c r="W115" s="1">
        <v>101</v>
      </c>
      <c r="X115" s="1">
        <v>1</v>
      </c>
      <c r="Y115" s="1">
        <v>1.6779999999999999</v>
      </c>
      <c r="AB115" s="1">
        <v>-0.7026</v>
      </c>
      <c r="AC115" s="1">
        <v>3.8600000000000002E-2</v>
      </c>
      <c r="AD115" s="1">
        <v>3.0577999999999999</v>
      </c>
      <c r="AE115" s="1">
        <v>4.4882</v>
      </c>
      <c r="AF115" s="1">
        <v>2.4054000000000002</v>
      </c>
    </row>
    <row r="116" spans="1:32" s="1" customFormat="1" ht="11.25" x14ac:dyDescent="0.2">
      <c r="A116" s="1">
        <v>102</v>
      </c>
      <c r="B116" s="1">
        <v>1</v>
      </c>
      <c r="C116" s="1">
        <v>24.9</v>
      </c>
      <c r="D116" s="1">
        <v>1</v>
      </c>
      <c r="E116" s="1">
        <v>2.0074999999999998</v>
      </c>
      <c r="F116" s="1">
        <v>0.77629999999999999</v>
      </c>
      <c r="G116" s="1">
        <v>0.34499999999999997</v>
      </c>
      <c r="H116" s="1">
        <v>-0.41289999999999999</v>
      </c>
      <c r="I116" s="1">
        <v>8.0000000000000004E-4</v>
      </c>
      <c r="J116" s="1">
        <v>3.6968999999999999</v>
      </c>
      <c r="K116" s="1">
        <v>3.6116000000000001</v>
      </c>
      <c r="L116" s="1">
        <v>2.0669</v>
      </c>
      <c r="M116" s="1">
        <v>-55.7</v>
      </c>
      <c r="N116" s="1">
        <v>1</v>
      </c>
      <c r="O116" s="1">
        <v>2.3692000000000002</v>
      </c>
      <c r="P116" s="1">
        <v>0.87560000000000004</v>
      </c>
      <c r="Q116" s="1">
        <v>0.29299999999999998</v>
      </c>
      <c r="R116" s="1">
        <v>-0.33239999999999997</v>
      </c>
      <c r="S116" s="1">
        <v>3.5999999999999999E-3</v>
      </c>
      <c r="T116" s="1">
        <v>1.5046999999999999</v>
      </c>
      <c r="U116" s="1">
        <v>2.6257000000000001</v>
      </c>
      <c r="V116" s="1">
        <v>1.9187000000000001</v>
      </c>
      <c r="W116" s="1">
        <v>101</v>
      </c>
      <c r="X116" s="1">
        <v>1</v>
      </c>
      <c r="Y116" s="1">
        <v>1.6477999999999999</v>
      </c>
      <c r="AB116" s="1">
        <v>-0.76659999999999995</v>
      </c>
      <c r="AC116" s="1">
        <v>5.2299999999999999E-2</v>
      </c>
      <c r="AD116" s="1">
        <v>3.1242000000000001</v>
      </c>
      <c r="AE116" s="1">
        <v>4.4406999999999996</v>
      </c>
      <c r="AF116" s="1">
        <v>2.2082000000000002</v>
      </c>
    </row>
    <row r="117" spans="1:32" s="1" customFormat="1" ht="11.25" x14ac:dyDescent="0.2">
      <c r="A117" s="1">
        <v>103</v>
      </c>
      <c r="B117" s="1">
        <v>1</v>
      </c>
      <c r="C117" s="1">
        <v>24.9</v>
      </c>
      <c r="D117" s="1">
        <v>1</v>
      </c>
      <c r="E117" s="1">
        <v>1.9633</v>
      </c>
      <c r="F117" s="1">
        <v>0.77959999999999996</v>
      </c>
      <c r="G117" s="1">
        <v>0.49320000000000003</v>
      </c>
      <c r="H117" s="1">
        <v>-0.45469999999999999</v>
      </c>
      <c r="I117" s="1">
        <v>8.0000000000000004E-4</v>
      </c>
      <c r="J117" s="1">
        <v>2.9539</v>
      </c>
      <c r="K117" s="1">
        <v>3.6701999999999999</v>
      </c>
      <c r="L117" s="1">
        <v>2.1490999999999998</v>
      </c>
      <c r="M117" s="1">
        <v>-55.4</v>
      </c>
      <c r="N117" s="1">
        <v>1</v>
      </c>
      <c r="O117" s="1">
        <v>2.2974999999999999</v>
      </c>
      <c r="P117" s="1">
        <v>0.87470000000000003</v>
      </c>
      <c r="Q117" s="1">
        <v>0.49519999999999997</v>
      </c>
      <c r="R117" s="1">
        <v>-0.55769999999999997</v>
      </c>
      <c r="S117" s="1">
        <v>4.0000000000000001E-3</v>
      </c>
      <c r="T117" s="1">
        <v>1.5305</v>
      </c>
      <c r="U117" s="1">
        <v>2.7151999999999998</v>
      </c>
      <c r="V117" s="1">
        <v>2.0051000000000001</v>
      </c>
      <c r="W117" s="1">
        <v>100.9</v>
      </c>
      <c r="X117" s="1">
        <v>1</v>
      </c>
      <c r="Y117" s="1">
        <v>1.6307</v>
      </c>
      <c r="AB117" s="1">
        <v>-0.77470000000000006</v>
      </c>
      <c r="AC117" s="1">
        <v>3.8300000000000001E-2</v>
      </c>
      <c r="AD117" s="1">
        <v>3.0581999999999998</v>
      </c>
      <c r="AE117" s="1">
        <v>4.4999000000000002</v>
      </c>
      <c r="AF117" s="1">
        <v>2.2818000000000001</v>
      </c>
    </row>
    <row r="118" spans="1:32" s="1" customFormat="1" ht="11.25" x14ac:dyDescent="0.2">
      <c r="A118" s="1">
        <v>104</v>
      </c>
      <c r="B118" s="1">
        <v>1</v>
      </c>
      <c r="C118" s="1">
        <v>25</v>
      </c>
      <c r="D118" s="1">
        <v>1</v>
      </c>
      <c r="E118" s="1">
        <v>2.0838000000000001</v>
      </c>
      <c r="F118" s="1">
        <v>0.77959999999999996</v>
      </c>
      <c r="G118" s="1">
        <v>0.3367</v>
      </c>
      <c r="H118" s="1">
        <v>-0.40039999999999998</v>
      </c>
      <c r="I118" s="1">
        <v>1E-3</v>
      </c>
      <c r="J118" s="1">
        <v>2.7974999999999999</v>
      </c>
      <c r="K118" s="1">
        <v>3.5455000000000001</v>
      </c>
      <c r="L118" s="1">
        <v>1.9303999999999999</v>
      </c>
      <c r="M118" s="1">
        <v>-55.4</v>
      </c>
      <c r="N118" s="1">
        <v>1</v>
      </c>
      <c r="O118" s="1">
        <v>2.4445999999999999</v>
      </c>
      <c r="P118" s="1">
        <v>0.87219999999999998</v>
      </c>
      <c r="Q118" s="1">
        <v>0.45240000000000002</v>
      </c>
      <c r="R118" s="1">
        <v>-0.37809999999999999</v>
      </c>
      <c r="S118" s="1">
        <v>3.0000000000000001E-3</v>
      </c>
      <c r="T118" s="1">
        <v>1.4074</v>
      </c>
      <c r="U118" s="1">
        <v>2.6341999999999999</v>
      </c>
      <c r="V118" s="1">
        <v>1.7927</v>
      </c>
      <c r="W118" s="1">
        <v>100.9</v>
      </c>
      <c r="X118" s="1">
        <v>1</v>
      </c>
      <c r="Y118" s="1">
        <v>1.746</v>
      </c>
      <c r="AB118" s="1">
        <v>-0.57369999999999999</v>
      </c>
      <c r="AC118" s="1">
        <v>3.6400000000000002E-2</v>
      </c>
      <c r="AD118" s="1">
        <v>2.8462999999999998</v>
      </c>
      <c r="AE118" s="1">
        <v>4.3421000000000003</v>
      </c>
      <c r="AF118" s="1">
        <v>2.0522999999999998</v>
      </c>
    </row>
    <row r="119" spans="1:32" s="1" customFormat="1" ht="11.25" x14ac:dyDescent="0.2">
      <c r="A119" s="1">
        <v>105</v>
      </c>
      <c r="B119" s="1">
        <v>1</v>
      </c>
      <c r="C119" s="1">
        <v>24.9</v>
      </c>
      <c r="D119" s="1">
        <v>1</v>
      </c>
      <c r="E119" s="1">
        <v>2.0127000000000002</v>
      </c>
      <c r="F119" s="1">
        <v>0.77759999999999996</v>
      </c>
      <c r="G119" s="1">
        <v>0.55010000000000003</v>
      </c>
      <c r="H119" s="1">
        <v>-0.624</v>
      </c>
      <c r="I119" s="1">
        <v>6.9999999999999999E-4</v>
      </c>
      <c r="J119" s="1">
        <v>2.9220999999999999</v>
      </c>
      <c r="K119" s="1">
        <v>3.5202</v>
      </c>
      <c r="L119" s="1">
        <v>2.1339999999999999</v>
      </c>
      <c r="M119" s="1">
        <v>-55.6</v>
      </c>
      <c r="N119" s="1">
        <v>1</v>
      </c>
      <c r="O119" s="1">
        <v>2.3675999999999999</v>
      </c>
      <c r="P119" s="1">
        <v>0.87139999999999995</v>
      </c>
      <c r="Q119" s="1">
        <v>0.50009999999999999</v>
      </c>
      <c r="R119" s="1">
        <v>-0.57399999999999995</v>
      </c>
      <c r="S119" s="1">
        <v>3.8E-3</v>
      </c>
      <c r="T119" s="1">
        <v>1.4830000000000001</v>
      </c>
      <c r="U119" s="1">
        <v>2.5966</v>
      </c>
      <c r="V119" s="1">
        <v>1.9907999999999999</v>
      </c>
      <c r="W119" s="1">
        <v>100.6</v>
      </c>
      <c r="X119" s="1">
        <v>1</v>
      </c>
      <c r="Y119" s="1">
        <v>1.6792</v>
      </c>
      <c r="AB119" s="1">
        <v>-0.52190000000000003</v>
      </c>
      <c r="AC119" s="1">
        <v>3.6200000000000003E-2</v>
      </c>
      <c r="AD119" s="1">
        <v>3.0326</v>
      </c>
      <c r="AE119" s="1">
        <v>4.3573000000000004</v>
      </c>
      <c r="AF119" s="1">
        <v>2.2635000000000001</v>
      </c>
    </row>
    <row r="120" spans="1:32" s="1" customFormat="1" ht="11.25" x14ac:dyDescent="0.2">
      <c r="A120" s="1">
        <v>106</v>
      </c>
      <c r="B120" s="1">
        <v>1</v>
      </c>
      <c r="C120" s="1">
        <v>25</v>
      </c>
      <c r="D120" s="1">
        <v>1</v>
      </c>
      <c r="E120" s="1">
        <v>2.0005000000000002</v>
      </c>
      <c r="F120" s="1">
        <v>0.7772</v>
      </c>
      <c r="G120" s="1">
        <v>0.50839999999999996</v>
      </c>
      <c r="H120" s="1">
        <v>-0.46729999999999999</v>
      </c>
      <c r="I120" s="1">
        <v>5.9999999999999995E-4</v>
      </c>
      <c r="J120" s="1">
        <v>2.8388</v>
      </c>
      <c r="K120" s="1">
        <v>3.5461</v>
      </c>
      <c r="L120" s="1">
        <v>2.1356000000000002</v>
      </c>
      <c r="M120" s="1">
        <v>-55.5</v>
      </c>
      <c r="N120" s="1">
        <v>1</v>
      </c>
      <c r="O120" s="1">
        <v>2.3660999999999999</v>
      </c>
      <c r="P120" s="1">
        <v>0.87760000000000005</v>
      </c>
      <c r="Q120" s="1">
        <v>0.4551</v>
      </c>
      <c r="R120" s="1">
        <v>-0.55179999999999996</v>
      </c>
      <c r="S120" s="1">
        <v>3.3E-3</v>
      </c>
      <c r="T120" s="1">
        <v>1.3893</v>
      </c>
      <c r="U120" s="1">
        <v>2.5941000000000001</v>
      </c>
      <c r="V120" s="1">
        <v>1.9839</v>
      </c>
      <c r="W120" s="1">
        <v>101</v>
      </c>
      <c r="X120" s="1">
        <v>1</v>
      </c>
      <c r="Y120" s="1">
        <v>1.6433</v>
      </c>
      <c r="AB120" s="1">
        <v>-0.72940000000000005</v>
      </c>
      <c r="AC120" s="1">
        <v>4.7800000000000002E-2</v>
      </c>
      <c r="AD120" s="1">
        <v>3.0299</v>
      </c>
      <c r="AE120" s="1">
        <v>4.4008000000000003</v>
      </c>
      <c r="AF120" s="1">
        <v>2.2757999999999998</v>
      </c>
    </row>
    <row r="121" spans="1:32" s="1" customFormat="1" ht="11.25" x14ac:dyDescent="0.2">
      <c r="A121" s="1">
        <v>107</v>
      </c>
      <c r="B121" s="1">
        <v>1</v>
      </c>
      <c r="C121" s="1">
        <v>25</v>
      </c>
      <c r="D121" s="1">
        <v>1</v>
      </c>
      <c r="E121" s="1">
        <v>2.0985</v>
      </c>
      <c r="F121" s="1">
        <v>0.78420000000000001</v>
      </c>
      <c r="G121" s="1">
        <v>0.47939999999999999</v>
      </c>
      <c r="H121" s="1">
        <v>-0.6099</v>
      </c>
      <c r="I121" s="1">
        <v>6.9999999999999999E-4</v>
      </c>
      <c r="J121" s="1">
        <v>2.9447999999999999</v>
      </c>
      <c r="K121" s="1">
        <v>3.6322000000000001</v>
      </c>
      <c r="L121" s="1">
        <v>1.9556</v>
      </c>
      <c r="M121" s="1">
        <v>-55.4</v>
      </c>
      <c r="N121" s="1">
        <v>1</v>
      </c>
      <c r="O121" s="1">
        <v>2.4685999999999999</v>
      </c>
      <c r="P121" s="1">
        <v>0.87660000000000005</v>
      </c>
      <c r="Q121" s="1">
        <v>0.27689999999999998</v>
      </c>
      <c r="R121" s="1">
        <v>-0.3216</v>
      </c>
      <c r="S121" s="1">
        <v>2.8999999999999998E-3</v>
      </c>
      <c r="T121" s="1">
        <v>1.3867</v>
      </c>
      <c r="U121" s="1">
        <v>2.7317999999999998</v>
      </c>
      <c r="V121" s="1">
        <v>1.8151999999999999</v>
      </c>
      <c r="W121" s="1">
        <v>100.9</v>
      </c>
      <c r="X121" s="1">
        <v>1</v>
      </c>
      <c r="Y121" s="1">
        <v>1.7371000000000001</v>
      </c>
      <c r="AB121" s="1">
        <v>-0.56369999999999998</v>
      </c>
      <c r="AC121" s="1">
        <v>4.0300000000000002E-2</v>
      </c>
      <c r="AD121" s="1">
        <v>3.0192000000000001</v>
      </c>
      <c r="AE121" s="1">
        <v>4.4813000000000001</v>
      </c>
      <c r="AF121" s="1">
        <v>2.0929000000000002</v>
      </c>
    </row>
    <row r="122" spans="1:32" s="1" customFormat="1" ht="11.25" x14ac:dyDescent="0.2">
      <c r="A122" s="1">
        <v>108</v>
      </c>
      <c r="B122" s="1">
        <v>1</v>
      </c>
      <c r="C122" s="1">
        <v>25</v>
      </c>
      <c r="D122" s="1">
        <v>1</v>
      </c>
      <c r="E122" s="1">
        <v>2.0394000000000001</v>
      </c>
      <c r="F122" s="1">
        <v>0.77539999999999998</v>
      </c>
      <c r="G122" s="1">
        <v>0.35849999999999999</v>
      </c>
      <c r="H122" s="1">
        <v>-0.37719999999999998</v>
      </c>
      <c r="I122" s="1">
        <v>1E-3</v>
      </c>
      <c r="J122" s="1">
        <v>2.9369999999999998</v>
      </c>
      <c r="K122" s="1">
        <v>3.4638</v>
      </c>
      <c r="L122" s="1">
        <v>2.2502</v>
      </c>
      <c r="M122" s="1">
        <v>-55.4</v>
      </c>
      <c r="N122" s="1">
        <v>1</v>
      </c>
      <c r="O122" s="1">
        <v>2.3995000000000002</v>
      </c>
      <c r="P122" s="1">
        <v>0.87150000000000005</v>
      </c>
      <c r="Q122" s="1">
        <v>0.41720000000000002</v>
      </c>
      <c r="R122" s="1">
        <v>-0.3624</v>
      </c>
      <c r="S122" s="1">
        <v>2.5999999999999999E-3</v>
      </c>
      <c r="T122" s="1">
        <v>1.3985000000000001</v>
      </c>
      <c r="U122" s="1">
        <v>2.6172</v>
      </c>
      <c r="V122" s="1">
        <v>2.1049000000000002</v>
      </c>
      <c r="W122" s="1">
        <v>100.9</v>
      </c>
      <c r="X122" s="1">
        <v>1</v>
      </c>
      <c r="Y122" s="1">
        <v>1.6823999999999999</v>
      </c>
      <c r="AB122" s="1">
        <v>-0.60899999999999999</v>
      </c>
      <c r="AC122" s="1">
        <v>4.1500000000000002E-2</v>
      </c>
      <c r="AD122" s="1">
        <v>3.1425000000000001</v>
      </c>
      <c r="AE122" s="1">
        <v>4.4919000000000002</v>
      </c>
      <c r="AF122" s="1">
        <v>2.3910999999999998</v>
      </c>
    </row>
    <row r="123" spans="1:32" s="1" customFormat="1" ht="11.25" x14ac:dyDescent="0.2">
      <c r="A123" s="1">
        <v>109</v>
      </c>
      <c r="B123" s="1">
        <v>1</v>
      </c>
      <c r="C123" s="1">
        <v>24.9</v>
      </c>
      <c r="D123" s="1">
        <v>1</v>
      </c>
      <c r="E123" s="1">
        <v>2.0179999999999998</v>
      </c>
      <c r="F123" s="1">
        <v>0.78139999999999998</v>
      </c>
      <c r="G123" s="1">
        <v>0.39179999999999998</v>
      </c>
      <c r="H123" s="1">
        <v>-0.40589999999999998</v>
      </c>
      <c r="I123" s="1">
        <v>1E-3</v>
      </c>
      <c r="J123" s="1">
        <v>2.7812999999999999</v>
      </c>
      <c r="K123" s="1">
        <v>3.7856999999999998</v>
      </c>
      <c r="L123" s="1">
        <v>1.8951</v>
      </c>
      <c r="M123" s="1">
        <v>-55.6</v>
      </c>
      <c r="N123" s="1">
        <v>1</v>
      </c>
      <c r="O123" s="1">
        <v>2.3485</v>
      </c>
      <c r="P123" s="1">
        <v>0.87749999999999995</v>
      </c>
      <c r="Q123" s="1">
        <v>0.3508</v>
      </c>
      <c r="R123" s="1">
        <v>-0.52059999999999995</v>
      </c>
      <c r="S123" s="1">
        <v>2.8999999999999998E-3</v>
      </c>
      <c r="T123" s="1">
        <v>1.4008</v>
      </c>
      <c r="U123" s="1">
        <v>2.8614999999999999</v>
      </c>
      <c r="V123" s="1">
        <v>1.7552000000000001</v>
      </c>
      <c r="W123" s="1">
        <v>101</v>
      </c>
      <c r="X123" s="1">
        <v>1</v>
      </c>
      <c r="Y123" s="1">
        <v>1.6942999999999999</v>
      </c>
      <c r="AB123" s="1">
        <v>-0.73929999999999996</v>
      </c>
      <c r="AC123" s="1">
        <v>4.3499999999999997E-2</v>
      </c>
      <c r="AD123" s="1">
        <v>3.0827</v>
      </c>
      <c r="AE123" s="1">
        <v>4.6365999999999996</v>
      </c>
      <c r="AF123" s="1">
        <v>2.0222000000000002</v>
      </c>
    </row>
    <row r="124" spans="1:32" s="1" customFormat="1" ht="11.25" x14ac:dyDescent="0.2">
      <c r="A124" s="1">
        <v>110</v>
      </c>
      <c r="B124" s="1">
        <v>1</v>
      </c>
      <c r="C124" s="1">
        <v>24.9</v>
      </c>
      <c r="D124" s="1">
        <v>1</v>
      </c>
      <c r="E124" s="1">
        <v>2.08</v>
      </c>
      <c r="F124" s="1">
        <v>0.78129999999999999</v>
      </c>
      <c r="G124" s="1">
        <v>0.54510000000000003</v>
      </c>
      <c r="H124" s="1">
        <v>-0.40489999999999998</v>
      </c>
      <c r="I124" s="1">
        <v>8.9999999999999998E-4</v>
      </c>
      <c r="J124" s="1">
        <v>3.0423</v>
      </c>
      <c r="K124" s="1">
        <v>3.6008</v>
      </c>
      <c r="L124" s="1">
        <v>1.9934000000000001</v>
      </c>
      <c r="M124" s="1">
        <v>-55.5</v>
      </c>
      <c r="N124" s="1">
        <v>1</v>
      </c>
      <c r="O124" s="1">
        <v>2.4382999999999999</v>
      </c>
      <c r="P124" s="1">
        <v>0.87470000000000003</v>
      </c>
      <c r="Q124" s="1">
        <v>0.42449999999999999</v>
      </c>
      <c r="R124" s="1">
        <v>-0.38779999999999998</v>
      </c>
      <c r="S124" s="1">
        <v>3.0000000000000001E-3</v>
      </c>
      <c r="T124" s="1">
        <v>1.34</v>
      </c>
      <c r="U124" s="1">
        <v>2.7204999999999999</v>
      </c>
      <c r="V124" s="1">
        <v>1.8525</v>
      </c>
      <c r="W124" s="1">
        <v>101</v>
      </c>
      <c r="X124" s="1">
        <v>1</v>
      </c>
      <c r="Y124" s="1">
        <v>1.746</v>
      </c>
      <c r="AB124" s="1">
        <v>-0.53300000000000003</v>
      </c>
      <c r="AC124" s="1">
        <v>3.49E-2</v>
      </c>
      <c r="AD124" s="1">
        <v>3.0941000000000001</v>
      </c>
      <c r="AE124" s="1">
        <v>4.5000999999999998</v>
      </c>
      <c r="AF124" s="1">
        <v>2.1171000000000002</v>
      </c>
    </row>
    <row r="125" spans="1:32" s="1" customFormat="1" ht="11.25" x14ac:dyDescent="0.2">
      <c r="A125" s="1">
        <v>111</v>
      </c>
      <c r="B125" s="1">
        <v>1</v>
      </c>
      <c r="C125" s="1">
        <v>24.8</v>
      </c>
      <c r="D125" s="1">
        <v>1</v>
      </c>
      <c r="E125" s="1">
        <v>2.0411999999999999</v>
      </c>
      <c r="F125" s="1">
        <v>0.78790000000000004</v>
      </c>
      <c r="G125" s="1">
        <v>0.34889999999999999</v>
      </c>
      <c r="H125" s="1">
        <v>-0.40189999999999998</v>
      </c>
      <c r="I125" s="1">
        <v>1.1000000000000001E-3</v>
      </c>
      <c r="J125" s="1">
        <v>3.1408999999999998</v>
      </c>
      <c r="K125" s="1">
        <v>4.3129</v>
      </c>
      <c r="L125" s="1">
        <v>1.7037</v>
      </c>
      <c r="M125" s="1">
        <v>-55.8</v>
      </c>
      <c r="N125" s="1">
        <v>1</v>
      </c>
      <c r="O125" s="1">
        <v>2.3786</v>
      </c>
      <c r="P125" s="1">
        <v>0.87990000000000002</v>
      </c>
      <c r="Q125" s="1">
        <v>0.47810000000000002</v>
      </c>
      <c r="R125" s="1">
        <v>-0.44579999999999997</v>
      </c>
      <c r="S125" s="1">
        <v>1.9E-3</v>
      </c>
      <c r="T125" s="1">
        <v>1.4488000000000001</v>
      </c>
      <c r="U125" s="1">
        <v>3.339</v>
      </c>
      <c r="V125" s="1">
        <v>1.5721000000000001</v>
      </c>
      <c r="W125" s="1">
        <v>101.1</v>
      </c>
      <c r="X125" s="1">
        <v>1</v>
      </c>
      <c r="Y125" s="1">
        <v>1.7363999999999999</v>
      </c>
      <c r="AB125" s="1">
        <v>-0.52900000000000003</v>
      </c>
      <c r="AC125" s="1">
        <v>3.5799999999999998E-2</v>
      </c>
      <c r="AD125" s="1">
        <v>3.1560000000000001</v>
      </c>
      <c r="AE125" s="1">
        <v>5.1818999999999997</v>
      </c>
      <c r="AF125" s="1">
        <v>1.8177000000000001</v>
      </c>
    </row>
    <row r="126" spans="1:32" s="1" customFormat="1" ht="11.25" x14ac:dyDescent="0.2">
      <c r="A126" s="1">
        <v>112</v>
      </c>
      <c r="B126" s="1">
        <v>1</v>
      </c>
      <c r="C126" s="1">
        <v>24.9</v>
      </c>
      <c r="D126" s="1">
        <v>1</v>
      </c>
      <c r="E126" s="1">
        <v>2.0242</v>
      </c>
      <c r="F126" s="1">
        <v>0.78049999999999997</v>
      </c>
      <c r="G126" s="1">
        <v>0.31780000000000003</v>
      </c>
      <c r="H126" s="1">
        <v>-0.45669999999999999</v>
      </c>
      <c r="I126" s="1">
        <v>1E-3</v>
      </c>
      <c r="J126" s="1">
        <v>3.1331000000000002</v>
      </c>
      <c r="K126" s="1">
        <v>3.6272000000000002</v>
      </c>
      <c r="L126" s="1">
        <v>1.8686</v>
      </c>
      <c r="M126" s="1">
        <v>-55.6</v>
      </c>
      <c r="N126" s="1">
        <v>1</v>
      </c>
      <c r="O126" s="1">
        <v>2.3488000000000002</v>
      </c>
      <c r="P126" s="1">
        <v>0.86870000000000003</v>
      </c>
      <c r="Q126" s="1">
        <v>0.28260000000000002</v>
      </c>
      <c r="R126" s="1">
        <v>-0.4032</v>
      </c>
      <c r="S126" s="1">
        <v>2.5999999999999999E-3</v>
      </c>
      <c r="T126" s="1">
        <v>1.3993</v>
      </c>
      <c r="U126" s="1">
        <v>2.7513999999999998</v>
      </c>
      <c r="V126" s="1">
        <v>1.7383999999999999</v>
      </c>
      <c r="W126" s="1">
        <v>100.8</v>
      </c>
      <c r="X126" s="1">
        <v>1</v>
      </c>
      <c r="Y126" s="1">
        <v>1.7557</v>
      </c>
      <c r="AB126" s="1">
        <v>-0.62329999999999997</v>
      </c>
      <c r="AC126" s="1">
        <v>2.2800000000000001E-2</v>
      </c>
      <c r="AD126" s="1">
        <v>2.9356</v>
      </c>
      <c r="AE126" s="1">
        <v>4.3970000000000002</v>
      </c>
      <c r="AF126" s="1">
        <v>1.9741</v>
      </c>
    </row>
    <row r="127" spans="1:32" s="1" customFormat="1" ht="11.25" x14ac:dyDescent="0.2">
      <c r="A127" s="1">
        <v>113</v>
      </c>
      <c r="B127" s="1">
        <v>1</v>
      </c>
      <c r="C127" s="1">
        <v>25.1</v>
      </c>
      <c r="D127" s="1">
        <v>1</v>
      </c>
      <c r="E127" s="1">
        <v>1.9842</v>
      </c>
      <c r="F127" s="1">
        <v>0.77990000000000004</v>
      </c>
      <c r="G127" s="1">
        <v>0.3115</v>
      </c>
      <c r="H127" s="1">
        <v>-0.4234</v>
      </c>
      <c r="I127" s="1">
        <v>6.9999999999999999E-4</v>
      </c>
      <c r="J127" s="1">
        <v>2.9628000000000001</v>
      </c>
      <c r="K127" s="1">
        <v>3.6587000000000001</v>
      </c>
      <c r="L127" s="1">
        <v>2.0390999999999999</v>
      </c>
      <c r="M127" s="1">
        <v>-55.2</v>
      </c>
      <c r="N127" s="1">
        <v>1</v>
      </c>
      <c r="O127" s="1">
        <v>2.2986</v>
      </c>
      <c r="P127" s="1">
        <v>0.87070000000000003</v>
      </c>
      <c r="Q127" s="1">
        <v>0.35049999999999998</v>
      </c>
      <c r="R127" s="1">
        <v>-0.32350000000000001</v>
      </c>
      <c r="S127" s="1">
        <v>3.5999999999999999E-3</v>
      </c>
      <c r="T127" s="1">
        <v>1.4236</v>
      </c>
      <c r="U127" s="1">
        <v>2.7391999999999999</v>
      </c>
      <c r="V127" s="1">
        <v>1.9021999999999999</v>
      </c>
      <c r="W127" s="1">
        <v>101.2</v>
      </c>
      <c r="X127" s="1">
        <v>1</v>
      </c>
      <c r="Y127" s="1">
        <v>1.6927000000000001</v>
      </c>
      <c r="AB127" s="1">
        <v>-0.48770000000000002</v>
      </c>
      <c r="AC127" s="1">
        <v>2.64E-2</v>
      </c>
      <c r="AD127" s="1">
        <v>3.1254</v>
      </c>
      <c r="AE127" s="1">
        <v>4.4939</v>
      </c>
      <c r="AF127" s="1">
        <v>2.1596000000000002</v>
      </c>
    </row>
    <row r="128" spans="1:32" s="1" customFormat="1" ht="11.25" x14ac:dyDescent="0.2">
      <c r="A128" s="1">
        <v>114</v>
      </c>
      <c r="B128" s="1">
        <v>1</v>
      </c>
      <c r="C128" s="1">
        <v>24.9</v>
      </c>
      <c r="D128" s="1">
        <v>1</v>
      </c>
      <c r="E128" s="1">
        <v>2.0146000000000002</v>
      </c>
      <c r="F128" s="1">
        <v>0.78159999999999996</v>
      </c>
      <c r="G128" s="1">
        <v>0.53449999999999998</v>
      </c>
      <c r="H128" s="1">
        <v>-0.56269999999999998</v>
      </c>
      <c r="I128" s="1">
        <v>8.0000000000000004E-4</v>
      </c>
      <c r="J128" s="1">
        <v>3.0577999999999999</v>
      </c>
      <c r="K128" s="1">
        <v>3.7141000000000002</v>
      </c>
      <c r="L128" s="1">
        <v>1.9014</v>
      </c>
      <c r="M128" s="1">
        <v>-55.5</v>
      </c>
      <c r="N128" s="1">
        <v>1</v>
      </c>
      <c r="O128" s="1">
        <v>2.3519000000000001</v>
      </c>
      <c r="P128" s="1">
        <v>0.87629999999999997</v>
      </c>
      <c r="Q128" s="1">
        <v>0.38</v>
      </c>
      <c r="R128" s="1">
        <v>-1.0094000000000001</v>
      </c>
      <c r="S128" s="1">
        <v>3.5000000000000001E-3</v>
      </c>
      <c r="T128" s="1">
        <v>1.5210999999999999</v>
      </c>
      <c r="U128" s="1">
        <v>2.8260999999999998</v>
      </c>
      <c r="V128" s="1">
        <v>1.7626999999999999</v>
      </c>
      <c r="W128" s="1">
        <v>100.6</v>
      </c>
      <c r="X128" s="1">
        <v>1</v>
      </c>
      <c r="Y128" s="1">
        <v>1.677</v>
      </c>
      <c r="AB128" s="1">
        <v>-0.77649999999999997</v>
      </c>
      <c r="AC128" s="1">
        <v>4.7E-2</v>
      </c>
      <c r="AD128" s="1">
        <v>3.1017999999999999</v>
      </c>
      <c r="AE128" s="1">
        <v>4.5744999999999996</v>
      </c>
      <c r="AF128" s="1">
        <v>2.0306000000000002</v>
      </c>
    </row>
    <row r="129" spans="1:32" s="1" customFormat="1" ht="11.25" x14ac:dyDescent="0.2">
      <c r="A129" s="1">
        <v>115</v>
      </c>
      <c r="B129" s="1">
        <v>1</v>
      </c>
      <c r="C129" s="1">
        <v>24.9</v>
      </c>
      <c r="D129" s="1">
        <v>1</v>
      </c>
      <c r="E129" s="1">
        <v>1.9455</v>
      </c>
      <c r="F129" s="1">
        <v>0.7762</v>
      </c>
      <c r="G129" s="1">
        <v>0.39479999999999998</v>
      </c>
      <c r="H129" s="1">
        <v>-0.5534</v>
      </c>
      <c r="I129" s="1">
        <v>6.9999999999999999E-4</v>
      </c>
      <c r="J129" s="1">
        <v>2.9794</v>
      </c>
      <c r="K129" s="1">
        <v>3.6366999999999998</v>
      </c>
      <c r="L129" s="1">
        <v>2.1482999999999999</v>
      </c>
      <c r="M129" s="1">
        <v>-55.6</v>
      </c>
      <c r="N129" s="1">
        <v>1</v>
      </c>
      <c r="O129" s="1">
        <v>2.2974999999999999</v>
      </c>
      <c r="P129" s="1">
        <v>0.87339999999999995</v>
      </c>
      <c r="Q129" s="1">
        <v>0.2944</v>
      </c>
      <c r="R129" s="1">
        <v>-0.32900000000000001</v>
      </c>
      <c r="S129" s="1">
        <v>2.7000000000000001E-3</v>
      </c>
      <c r="T129" s="1">
        <v>1.51</v>
      </c>
      <c r="U129" s="1">
        <v>2.6911</v>
      </c>
      <c r="V129" s="1">
        <v>2.0022000000000002</v>
      </c>
      <c r="W129" s="1">
        <v>100.9</v>
      </c>
      <c r="X129" s="1">
        <v>1</v>
      </c>
      <c r="Y129" s="1">
        <v>1.6060000000000001</v>
      </c>
      <c r="AB129" s="1">
        <v>-0.5</v>
      </c>
      <c r="AC129" s="1">
        <v>4.4299999999999999E-2</v>
      </c>
      <c r="AD129" s="1">
        <v>3.081</v>
      </c>
      <c r="AE129" s="1">
        <v>4.4915000000000003</v>
      </c>
      <c r="AF129" s="1">
        <v>2.2839</v>
      </c>
    </row>
    <row r="130" spans="1:32" s="1" customFormat="1" ht="11.25" x14ac:dyDescent="0.2">
      <c r="A130" s="1">
        <v>116</v>
      </c>
      <c r="B130" s="1">
        <v>1</v>
      </c>
      <c r="C130" s="1">
        <v>24.9</v>
      </c>
      <c r="D130" s="1">
        <v>1</v>
      </c>
      <c r="E130" s="1">
        <v>1.9719</v>
      </c>
      <c r="F130" s="1">
        <v>0.77680000000000005</v>
      </c>
      <c r="G130" s="1">
        <v>0.53120000000000001</v>
      </c>
      <c r="H130" s="1">
        <v>-0.53680000000000005</v>
      </c>
      <c r="I130" s="1">
        <v>1.2999999999999999E-3</v>
      </c>
      <c r="J130" s="1">
        <v>2.8645999999999998</v>
      </c>
      <c r="K130" s="1">
        <v>3.4916999999999998</v>
      </c>
      <c r="L130" s="1">
        <v>1.9547000000000001</v>
      </c>
      <c r="M130" s="1">
        <v>-55.6</v>
      </c>
      <c r="N130" s="1">
        <v>1</v>
      </c>
      <c r="O130" s="1">
        <v>2.3191999999999999</v>
      </c>
      <c r="P130" s="1">
        <v>0.87390000000000001</v>
      </c>
      <c r="Q130" s="1">
        <v>0.39650000000000002</v>
      </c>
      <c r="R130" s="1">
        <v>-0.57089999999999996</v>
      </c>
      <c r="S130" s="1">
        <v>3.3E-3</v>
      </c>
      <c r="T130" s="1">
        <v>1.3562000000000001</v>
      </c>
      <c r="U130" s="1">
        <v>2.5575999999999999</v>
      </c>
      <c r="V130" s="1">
        <v>1.8127</v>
      </c>
      <c r="W130" s="1">
        <v>101.1</v>
      </c>
      <c r="X130" s="1">
        <v>1</v>
      </c>
      <c r="Y130" s="1">
        <v>1.6349</v>
      </c>
      <c r="AB130" s="1">
        <v>-0.56279999999999997</v>
      </c>
      <c r="AC130" s="1">
        <v>4.5400000000000003E-2</v>
      </c>
      <c r="AD130" s="1">
        <v>3.1455000000000002</v>
      </c>
      <c r="AE130" s="1">
        <v>4.3966000000000003</v>
      </c>
      <c r="AF130" s="1">
        <v>2.0838000000000001</v>
      </c>
    </row>
    <row r="131" spans="1:32" s="1" customFormat="1" ht="11.25" x14ac:dyDescent="0.2">
      <c r="A131" s="1">
        <v>117</v>
      </c>
      <c r="B131" s="1">
        <v>1</v>
      </c>
      <c r="C131" s="1">
        <v>24.9</v>
      </c>
      <c r="D131" s="1">
        <v>1</v>
      </c>
      <c r="E131" s="1">
        <v>1.9876</v>
      </c>
      <c r="F131" s="1">
        <v>0.77370000000000005</v>
      </c>
      <c r="G131" s="1">
        <v>0.54520000000000002</v>
      </c>
      <c r="H131" s="1">
        <v>-0.58940000000000003</v>
      </c>
      <c r="I131" s="1">
        <v>6.9999999999999999E-4</v>
      </c>
      <c r="J131" s="1">
        <v>2.8868999999999998</v>
      </c>
      <c r="K131" s="1">
        <v>3.5238</v>
      </c>
      <c r="L131" s="1">
        <v>2.0813000000000001</v>
      </c>
      <c r="M131" s="1">
        <v>-55.5</v>
      </c>
      <c r="N131" s="1">
        <v>1</v>
      </c>
      <c r="O131" s="1">
        <v>2.3111000000000002</v>
      </c>
      <c r="P131" s="1">
        <v>0.86429999999999996</v>
      </c>
      <c r="Q131" s="1">
        <v>0.44259999999999999</v>
      </c>
      <c r="R131" s="1">
        <v>-0.57450000000000001</v>
      </c>
      <c r="S131" s="1">
        <v>4.3E-3</v>
      </c>
      <c r="T131" s="1">
        <v>1.4357</v>
      </c>
      <c r="U131" s="1">
        <v>2.6343999999999999</v>
      </c>
      <c r="V131" s="1">
        <v>1.9434</v>
      </c>
      <c r="W131" s="1">
        <v>101.1</v>
      </c>
      <c r="X131" s="1">
        <v>1</v>
      </c>
      <c r="Y131" s="1">
        <v>1.7139</v>
      </c>
      <c r="AB131" s="1">
        <v>-0.53420000000000001</v>
      </c>
      <c r="AC131" s="1">
        <v>2.2800000000000001E-2</v>
      </c>
      <c r="AD131" s="1">
        <v>3.0123000000000002</v>
      </c>
      <c r="AE131" s="1">
        <v>4.3257000000000003</v>
      </c>
      <c r="AF131" s="1">
        <v>2.1955</v>
      </c>
    </row>
    <row r="132" spans="1:32" s="1" customFormat="1" ht="11.25" x14ac:dyDescent="0.2">
      <c r="A132" s="1">
        <v>118</v>
      </c>
      <c r="B132" s="1">
        <v>1</v>
      </c>
      <c r="C132" s="1">
        <v>25.1</v>
      </c>
      <c r="D132" s="1">
        <v>1</v>
      </c>
      <c r="E132" s="1">
        <v>2.0221</v>
      </c>
      <c r="F132" s="1">
        <v>0.78610000000000002</v>
      </c>
      <c r="G132" s="1">
        <v>0.31950000000000001</v>
      </c>
      <c r="H132" s="1">
        <v>-0.61</v>
      </c>
      <c r="I132" s="1">
        <v>5.0000000000000001E-4</v>
      </c>
      <c r="J132" s="1">
        <v>2.8483000000000001</v>
      </c>
      <c r="K132" s="1">
        <v>3.5276000000000001</v>
      </c>
      <c r="L132" s="1">
        <v>1.8291999999999999</v>
      </c>
      <c r="M132" s="1">
        <v>-56.8</v>
      </c>
      <c r="N132" s="1">
        <v>1</v>
      </c>
      <c r="O132" s="1">
        <v>2.3736999999999999</v>
      </c>
      <c r="P132" s="1">
        <v>0.88490000000000002</v>
      </c>
      <c r="Q132" s="1">
        <v>1.3909</v>
      </c>
      <c r="R132" s="1">
        <v>-3.0647000000000002</v>
      </c>
      <c r="S132" s="1">
        <v>3.3E-3</v>
      </c>
      <c r="T132" s="1">
        <v>1.3006</v>
      </c>
      <c r="U132" s="1">
        <v>2.6278000000000001</v>
      </c>
      <c r="V132" s="1">
        <v>1.6904999999999999</v>
      </c>
      <c r="W132" s="1">
        <v>101.1</v>
      </c>
      <c r="X132" s="1">
        <v>1</v>
      </c>
      <c r="Y132" s="1">
        <v>1.7286999999999999</v>
      </c>
      <c r="AB132" s="1">
        <v>-0.72370000000000001</v>
      </c>
      <c r="AC132" s="1">
        <v>2.4299999999999999E-2</v>
      </c>
      <c r="AD132" s="1">
        <v>2.8180000000000001</v>
      </c>
      <c r="AE132" s="1">
        <v>4.3541999999999996</v>
      </c>
      <c r="AF132" s="1">
        <v>1.9441999999999999</v>
      </c>
    </row>
    <row r="133" spans="1:32" s="1" customFormat="1" ht="11.25" x14ac:dyDescent="0.2">
      <c r="A133" s="1">
        <v>119</v>
      </c>
      <c r="B133" s="1">
        <v>1</v>
      </c>
      <c r="C133" s="1">
        <v>24.9</v>
      </c>
      <c r="D133" s="1">
        <v>1</v>
      </c>
      <c r="E133" s="1">
        <v>2.0339</v>
      </c>
      <c r="F133" s="1">
        <v>0.77880000000000005</v>
      </c>
      <c r="G133" s="1">
        <v>0.49120000000000003</v>
      </c>
      <c r="H133" s="1">
        <v>-0.58030000000000004</v>
      </c>
      <c r="I133" s="1">
        <v>4.0000000000000002E-4</v>
      </c>
      <c r="J133" s="1">
        <v>2.8277999999999999</v>
      </c>
      <c r="K133" s="1">
        <v>3.6248999999999998</v>
      </c>
      <c r="L133" s="1">
        <v>2.0687000000000002</v>
      </c>
      <c r="M133" s="1">
        <v>-55.5</v>
      </c>
      <c r="N133" s="1">
        <v>1</v>
      </c>
      <c r="O133" s="1">
        <v>2.3788999999999998</v>
      </c>
      <c r="P133" s="1">
        <v>0.86819999999999997</v>
      </c>
      <c r="Q133" s="1">
        <v>14.4345</v>
      </c>
      <c r="R133" s="1">
        <v>-75.021699999999996</v>
      </c>
      <c r="S133" s="1">
        <v>4.0000000000000001E-3</v>
      </c>
      <c r="T133" s="1">
        <v>1.5039</v>
      </c>
      <c r="U133" s="1">
        <v>2.6246999999999998</v>
      </c>
      <c r="V133" s="1">
        <v>1.9339</v>
      </c>
      <c r="W133" s="1">
        <v>101.1</v>
      </c>
      <c r="X133" s="1">
        <v>1</v>
      </c>
      <c r="Y133" s="1">
        <v>1.7281</v>
      </c>
      <c r="AB133" s="1">
        <v>-0.71389999999999998</v>
      </c>
      <c r="AC133" s="1">
        <v>2.63E-2</v>
      </c>
      <c r="AD133" s="1">
        <v>2.9291</v>
      </c>
      <c r="AE133" s="1">
        <v>4.3494000000000002</v>
      </c>
      <c r="AF133" s="1">
        <v>2.1932999999999998</v>
      </c>
    </row>
    <row r="134" spans="1:32" s="1" customFormat="1" ht="11.25" x14ac:dyDescent="0.2">
      <c r="A134" s="1">
        <v>120</v>
      </c>
      <c r="B134" s="1">
        <v>1</v>
      </c>
      <c r="C134" s="1">
        <v>25</v>
      </c>
      <c r="D134" s="1">
        <v>1</v>
      </c>
      <c r="E134" s="1">
        <v>1.9742</v>
      </c>
      <c r="F134" s="1">
        <v>0.78059999999999996</v>
      </c>
      <c r="G134" s="1">
        <v>0.48609999999999998</v>
      </c>
      <c r="H134" s="1">
        <v>-0.62170000000000003</v>
      </c>
      <c r="I134" s="1">
        <v>8.0000000000000004E-4</v>
      </c>
      <c r="J134" s="1">
        <v>2.9045999999999998</v>
      </c>
      <c r="K134" s="1">
        <v>3.7669999999999999</v>
      </c>
      <c r="L134" s="1">
        <v>2.0720999999999998</v>
      </c>
      <c r="M134" s="1">
        <v>-55.5</v>
      </c>
      <c r="N134" s="1">
        <v>1</v>
      </c>
      <c r="O134" s="1">
        <v>2.2774000000000001</v>
      </c>
      <c r="P134" s="1">
        <v>0.86750000000000005</v>
      </c>
      <c r="Q134" s="1">
        <v>9.0178999999999991</v>
      </c>
      <c r="R134" s="1">
        <v>-43.263399999999997</v>
      </c>
      <c r="S134" s="1">
        <v>3.8E-3</v>
      </c>
      <c r="T134" s="1">
        <v>1.5135000000000001</v>
      </c>
      <c r="U134" s="1">
        <v>2.8948999999999998</v>
      </c>
      <c r="V134" s="1">
        <v>1.9392</v>
      </c>
      <c r="W134" s="1">
        <v>100.9</v>
      </c>
      <c r="X134" s="1">
        <v>1</v>
      </c>
      <c r="Y134" s="1">
        <v>1.7098</v>
      </c>
      <c r="AB134" s="1">
        <v>-0.5544</v>
      </c>
      <c r="AC134" s="1">
        <v>2.1600000000000001E-2</v>
      </c>
      <c r="AD134" s="1">
        <v>3.0569999999999999</v>
      </c>
      <c r="AE134" s="1">
        <v>4.5296000000000003</v>
      </c>
      <c r="AF134" s="1">
        <v>2.1888000000000001</v>
      </c>
    </row>
    <row r="135" spans="1:32" s="1" customFormat="1" ht="11.25" x14ac:dyDescent="0.2">
      <c r="A135" s="1">
        <v>121</v>
      </c>
      <c r="B135" s="1">
        <v>1</v>
      </c>
      <c r="C135" s="1">
        <v>24.9</v>
      </c>
      <c r="D135" s="1">
        <v>1</v>
      </c>
      <c r="E135" s="1">
        <v>2.0297000000000001</v>
      </c>
      <c r="F135" s="1">
        <v>0.77849999999999997</v>
      </c>
      <c r="G135" s="1">
        <v>0.44819999999999999</v>
      </c>
      <c r="H135" s="1">
        <v>-0.37140000000000001</v>
      </c>
      <c r="I135" s="1">
        <v>8.9999999999999998E-4</v>
      </c>
      <c r="J135" s="1">
        <v>2.9868999999999999</v>
      </c>
      <c r="K135" s="1">
        <v>3.6107</v>
      </c>
      <c r="L135" s="1">
        <v>1.8766</v>
      </c>
      <c r="M135" s="1">
        <v>-55.6</v>
      </c>
      <c r="N135" s="1">
        <v>1</v>
      </c>
      <c r="O135" s="1">
        <v>2.3435999999999999</v>
      </c>
      <c r="P135" s="1">
        <v>0.86450000000000005</v>
      </c>
      <c r="Q135" s="1">
        <v>7.8323999999999998</v>
      </c>
      <c r="R135" s="1">
        <v>-36.3735</v>
      </c>
      <c r="S135" s="1">
        <v>3.0999999999999999E-3</v>
      </c>
      <c r="T135" s="1">
        <v>1.4758</v>
      </c>
      <c r="U135" s="1">
        <v>2.7786</v>
      </c>
      <c r="V135" s="1">
        <v>1.7482</v>
      </c>
      <c r="W135" s="1">
        <v>101.1</v>
      </c>
      <c r="X135" s="1">
        <v>1</v>
      </c>
      <c r="Y135" s="1">
        <v>1.7717000000000001</v>
      </c>
      <c r="AB135" s="1">
        <v>-0.55030000000000001</v>
      </c>
      <c r="AC135" s="1">
        <v>2.2100000000000002E-2</v>
      </c>
      <c r="AD135" s="1">
        <v>2.8347000000000002</v>
      </c>
      <c r="AE135" s="1">
        <v>4.3556999999999997</v>
      </c>
      <c r="AF135" s="1">
        <v>1.9801</v>
      </c>
    </row>
    <row r="136" spans="1:32" s="1" customFormat="1" ht="11.25" x14ac:dyDescent="0.2">
      <c r="A136" s="1">
        <v>122</v>
      </c>
      <c r="B136" s="1">
        <v>1</v>
      </c>
      <c r="C136" s="1">
        <v>24.9</v>
      </c>
      <c r="D136" s="1">
        <v>1</v>
      </c>
      <c r="E136" s="1">
        <v>2.0344000000000002</v>
      </c>
      <c r="F136" s="1">
        <v>0.78</v>
      </c>
      <c r="G136" s="1">
        <v>0.36580000000000001</v>
      </c>
      <c r="H136" s="1">
        <v>-0.58620000000000005</v>
      </c>
      <c r="I136" s="1">
        <v>2.9999999999999997E-4</v>
      </c>
      <c r="J136" s="1">
        <v>2.8828</v>
      </c>
      <c r="K136" s="1">
        <v>3.5973000000000002</v>
      </c>
      <c r="L136" s="1">
        <v>1.8960999999999999</v>
      </c>
      <c r="M136" s="1">
        <v>-55.7</v>
      </c>
      <c r="N136" s="1">
        <v>1</v>
      </c>
      <c r="O136" s="1">
        <v>2.3618999999999999</v>
      </c>
      <c r="P136" s="1">
        <v>0.86980000000000002</v>
      </c>
      <c r="Q136" s="1">
        <v>5.6745999999999999</v>
      </c>
      <c r="R136" s="1">
        <v>-36.675800000000002</v>
      </c>
      <c r="S136" s="1">
        <v>4.0000000000000001E-3</v>
      </c>
      <c r="T136" s="1">
        <v>1.3720000000000001</v>
      </c>
      <c r="U136" s="1">
        <v>2.7021000000000002</v>
      </c>
      <c r="V136" s="1">
        <v>1.7622</v>
      </c>
      <c r="W136" s="1">
        <v>100.9</v>
      </c>
      <c r="X136" s="1">
        <v>1</v>
      </c>
      <c r="Y136" s="1">
        <v>1.7592000000000001</v>
      </c>
      <c r="AB136" s="1">
        <v>-0.49569999999999997</v>
      </c>
      <c r="AC136" s="1">
        <v>2.4400000000000002E-2</v>
      </c>
      <c r="AD136" s="1">
        <v>2.9552</v>
      </c>
      <c r="AE136" s="1">
        <v>4.4047999999999998</v>
      </c>
      <c r="AF136" s="1">
        <v>2.0065</v>
      </c>
    </row>
    <row r="137" spans="1:32" s="1" customFormat="1" ht="11.25" x14ac:dyDescent="0.2">
      <c r="A137" s="1">
        <v>123</v>
      </c>
      <c r="B137" s="1">
        <v>1</v>
      </c>
      <c r="C137" s="1">
        <v>24.9</v>
      </c>
      <c r="D137" s="1">
        <v>1</v>
      </c>
      <c r="E137" s="1">
        <v>1.9453</v>
      </c>
      <c r="F137" s="1">
        <v>0.77370000000000005</v>
      </c>
      <c r="G137" s="1">
        <v>0.49830000000000002</v>
      </c>
      <c r="H137" s="1">
        <v>-0.56789999999999996</v>
      </c>
      <c r="I137" s="1">
        <v>5.0000000000000001E-4</v>
      </c>
      <c r="J137" s="1">
        <v>2.9950000000000001</v>
      </c>
      <c r="K137" s="1">
        <v>3.6168</v>
      </c>
      <c r="L137" s="1">
        <v>2.3247</v>
      </c>
      <c r="M137" s="1">
        <v>-55.5</v>
      </c>
      <c r="N137" s="1">
        <v>1</v>
      </c>
      <c r="O137" s="1">
        <v>2.2999000000000001</v>
      </c>
      <c r="P137" s="1">
        <v>0.87329999999999997</v>
      </c>
      <c r="Q137" s="1">
        <v>4.0063000000000004</v>
      </c>
      <c r="R137" s="1">
        <v>-26.0197</v>
      </c>
      <c r="S137" s="1">
        <v>2.7000000000000001E-3</v>
      </c>
      <c r="T137" s="1">
        <v>1.5438000000000001</v>
      </c>
      <c r="U137" s="1">
        <v>2.6882000000000001</v>
      </c>
      <c r="V137" s="1">
        <v>2.1709000000000001</v>
      </c>
      <c r="W137" s="1">
        <v>100.9</v>
      </c>
      <c r="X137" s="1">
        <v>1</v>
      </c>
      <c r="Y137" s="1">
        <v>1.6124000000000001</v>
      </c>
      <c r="AB137" s="1">
        <v>-0.71640000000000004</v>
      </c>
      <c r="AC137" s="1">
        <v>3.9399999999999998E-2</v>
      </c>
      <c r="AD137" s="1">
        <v>3.2389000000000001</v>
      </c>
      <c r="AE137" s="1">
        <v>4.5968</v>
      </c>
      <c r="AF137" s="1">
        <v>2.4601000000000002</v>
      </c>
    </row>
    <row r="138" spans="1:32" s="1" customFormat="1" ht="11.25" x14ac:dyDescent="0.2">
      <c r="A138" s="1">
        <v>124</v>
      </c>
      <c r="B138" s="1">
        <v>1</v>
      </c>
      <c r="C138" s="1">
        <v>24.9</v>
      </c>
      <c r="D138" s="1">
        <v>1</v>
      </c>
      <c r="E138" s="1">
        <v>2.0482999999999998</v>
      </c>
      <c r="F138" s="1">
        <v>0.77690000000000003</v>
      </c>
      <c r="G138" s="1">
        <v>0.52039999999999997</v>
      </c>
      <c r="H138" s="1">
        <v>-0.51249999999999996</v>
      </c>
      <c r="I138" s="1">
        <v>1E-3</v>
      </c>
      <c r="J138" s="1">
        <v>2.8797999999999999</v>
      </c>
      <c r="K138" s="1">
        <v>3.5922999999999998</v>
      </c>
      <c r="L138" s="1">
        <v>2.0823999999999998</v>
      </c>
      <c r="M138" s="1">
        <v>-55.4</v>
      </c>
      <c r="N138" s="1">
        <v>1</v>
      </c>
      <c r="O138" s="1">
        <v>2.4026999999999998</v>
      </c>
      <c r="P138" s="1">
        <v>0.86909999999999998</v>
      </c>
      <c r="Q138" s="1">
        <v>5.1981999999999999</v>
      </c>
      <c r="R138" s="1">
        <v>-30.6326</v>
      </c>
      <c r="S138" s="1">
        <v>2.8E-3</v>
      </c>
      <c r="T138" s="1">
        <v>1.4827999999999999</v>
      </c>
      <c r="U138" s="1">
        <v>2.6591999999999998</v>
      </c>
      <c r="V138" s="1">
        <v>1.9398</v>
      </c>
      <c r="W138" s="1">
        <v>101.2</v>
      </c>
      <c r="X138" s="1">
        <v>1</v>
      </c>
      <c r="Y138" s="1">
        <v>1.7335</v>
      </c>
      <c r="AB138" s="1">
        <v>-0.62749999999999995</v>
      </c>
      <c r="AC138" s="1">
        <v>3.1E-2</v>
      </c>
      <c r="AD138" s="1">
        <v>3.0392999999999999</v>
      </c>
      <c r="AE138" s="1">
        <v>4.4311999999999996</v>
      </c>
      <c r="AF138" s="1">
        <v>2.2042000000000002</v>
      </c>
    </row>
    <row r="139" spans="1:32" s="1" customFormat="1" ht="11.25" x14ac:dyDescent="0.2">
      <c r="A139" s="1">
        <v>125</v>
      </c>
      <c r="B139" s="1">
        <v>1</v>
      </c>
      <c r="C139" s="1">
        <v>24.9</v>
      </c>
      <c r="D139" s="1">
        <v>1</v>
      </c>
      <c r="E139" s="1">
        <v>2.1692</v>
      </c>
      <c r="F139" s="1">
        <v>0.78310000000000002</v>
      </c>
      <c r="G139" s="1">
        <v>0.31190000000000001</v>
      </c>
      <c r="H139" s="1">
        <v>-0.50580000000000003</v>
      </c>
      <c r="I139" s="1">
        <v>6.9999999999999999E-4</v>
      </c>
      <c r="J139" s="1">
        <v>2.9695999999999998</v>
      </c>
      <c r="K139" s="1">
        <v>3.7248000000000001</v>
      </c>
      <c r="L139" s="1">
        <v>1.9814000000000001</v>
      </c>
      <c r="M139" s="1">
        <v>-55.4</v>
      </c>
      <c r="N139" s="1">
        <v>1</v>
      </c>
      <c r="O139" s="1">
        <v>2.5333999999999999</v>
      </c>
      <c r="P139" s="1">
        <v>0.87060000000000004</v>
      </c>
      <c r="Q139" s="1">
        <v>4.3098999999999998</v>
      </c>
      <c r="R139" s="1">
        <v>-25.426500000000001</v>
      </c>
      <c r="S139" s="1">
        <v>3.8999999999999998E-3</v>
      </c>
      <c r="T139" s="1">
        <v>1.4325000000000001</v>
      </c>
      <c r="U139" s="1">
        <v>2.8182999999999998</v>
      </c>
      <c r="V139" s="1">
        <v>1.8486</v>
      </c>
      <c r="W139" s="1">
        <v>101.2</v>
      </c>
      <c r="X139" s="1">
        <v>1</v>
      </c>
      <c r="Y139" s="1">
        <v>1.8508</v>
      </c>
      <c r="AB139" s="1">
        <v>-0.61229999999999996</v>
      </c>
      <c r="AC139" s="1">
        <v>2.2200000000000001E-2</v>
      </c>
      <c r="AD139" s="1">
        <v>3.0407999999999999</v>
      </c>
      <c r="AE139" s="1">
        <v>4.4641000000000002</v>
      </c>
      <c r="AF139" s="1">
        <v>2.0958000000000001</v>
      </c>
    </row>
    <row r="140" spans="1:32" s="1" customFormat="1" ht="11.25" x14ac:dyDescent="0.2">
      <c r="A140" s="1">
        <v>126</v>
      </c>
      <c r="B140" s="1">
        <v>1</v>
      </c>
      <c r="C140" s="1">
        <v>25</v>
      </c>
      <c r="D140" s="1">
        <v>1</v>
      </c>
      <c r="E140" s="1">
        <v>1.9363999999999999</v>
      </c>
      <c r="F140" s="1">
        <v>0.77859999999999996</v>
      </c>
      <c r="G140" s="1">
        <v>0.30759999999999998</v>
      </c>
      <c r="H140" s="1">
        <v>-0.45019999999999999</v>
      </c>
      <c r="I140" s="1">
        <v>4.0000000000000002E-4</v>
      </c>
      <c r="J140" s="1">
        <v>3.1459000000000001</v>
      </c>
      <c r="K140" s="1">
        <v>3.5062000000000002</v>
      </c>
      <c r="L140" s="1">
        <v>2.2662</v>
      </c>
      <c r="M140" s="1">
        <v>-55</v>
      </c>
      <c r="N140" s="1">
        <v>1</v>
      </c>
      <c r="O140" s="1">
        <v>2.2425999999999999</v>
      </c>
      <c r="P140" s="1">
        <v>0.86250000000000004</v>
      </c>
      <c r="Q140" s="1">
        <v>17.223299999999998</v>
      </c>
      <c r="R140" s="1">
        <v>-72.974100000000007</v>
      </c>
      <c r="S140" s="1">
        <v>3.5000000000000001E-3</v>
      </c>
      <c r="T140" s="1">
        <v>1.5337000000000001</v>
      </c>
      <c r="U140" s="1">
        <v>2.6576</v>
      </c>
      <c r="V140" s="1">
        <v>2.1326999999999998</v>
      </c>
      <c r="W140" s="1">
        <v>101.3</v>
      </c>
      <c r="X140" s="1">
        <v>1</v>
      </c>
      <c r="Y140" s="1">
        <v>1.6721999999999999</v>
      </c>
      <c r="AB140" s="1">
        <v>-0.55740000000000001</v>
      </c>
      <c r="AC140" s="1">
        <v>1.6899999999999998E-2</v>
      </c>
      <c r="AD140" s="1">
        <v>3.1497000000000002</v>
      </c>
      <c r="AE140" s="1">
        <v>4.3857999999999997</v>
      </c>
      <c r="AF140" s="1">
        <v>2.3826000000000001</v>
      </c>
    </row>
    <row r="141" spans="1:32" s="1" customFormat="1" ht="11.25" x14ac:dyDescent="0.2">
      <c r="A141" s="1">
        <v>127</v>
      </c>
      <c r="B141" s="1">
        <v>1</v>
      </c>
      <c r="C141" s="1">
        <v>24.9</v>
      </c>
      <c r="D141" s="1">
        <v>1</v>
      </c>
      <c r="E141" s="1">
        <v>2.0405000000000002</v>
      </c>
      <c r="F141" s="1">
        <v>0.77780000000000005</v>
      </c>
      <c r="G141" s="1">
        <v>0.3533</v>
      </c>
      <c r="H141" s="1">
        <v>-0.56130000000000002</v>
      </c>
      <c r="I141" s="1">
        <v>2.9999999999999997E-4</v>
      </c>
      <c r="J141" s="1">
        <v>2.9257</v>
      </c>
      <c r="K141" s="1">
        <v>3.6031</v>
      </c>
      <c r="L141" s="1">
        <v>2.222</v>
      </c>
      <c r="M141" s="1">
        <v>-55.3</v>
      </c>
      <c r="N141" s="1">
        <v>1</v>
      </c>
      <c r="O141" s="1">
        <v>2.4859</v>
      </c>
      <c r="P141" s="1">
        <v>0.89959999999999996</v>
      </c>
      <c r="Q141" s="1">
        <v>0.45550000000000002</v>
      </c>
      <c r="R141" s="1">
        <v>-0.40389999999999998</v>
      </c>
      <c r="S141" s="1">
        <v>3.5000000000000001E-3</v>
      </c>
      <c r="T141" s="1">
        <v>1.3008999999999999</v>
      </c>
      <c r="U141" s="1">
        <v>2.4918</v>
      </c>
      <c r="V141" s="1">
        <v>2.0432000000000001</v>
      </c>
      <c r="W141" s="1">
        <v>100.3</v>
      </c>
      <c r="X141" s="1">
        <v>1</v>
      </c>
      <c r="Y141" s="1">
        <v>1.5183</v>
      </c>
      <c r="AB141" s="1">
        <v>-0.55220000000000002</v>
      </c>
      <c r="AC141" s="1">
        <v>0.21</v>
      </c>
      <c r="AD141" s="1">
        <v>3.2785000000000002</v>
      </c>
      <c r="AE141" s="1">
        <v>4.8715000000000002</v>
      </c>
      <c r="AF141" s="1">
        <v>2.4171999999999998</v>
      </c>
    </row>
    <row r="142" spans="1:32" s="1" customFormat="1" ht="11.25" x14ac:dyDescent="0.2">
      <c r="A142" s="1">
        <v>128</v>
      </c>
      <c r="B142" s="1">
        <v>1</v>
      </c>
      <c r="C142" s="1">
        <v>25</v>
      </c>
      <c r="D142" s="1">
        <v>1</v>
      </c>
      <c r="E142" s="1">
        <v>2.0299999999999998</v>
      </c>
      <c r="F142" s="1">
        <v>0.77790000000000004</v>
      </c>
      <c r="G142" s="1">
        <v>0.42349999999999999</v>
      </c>
      <c r="H142" s="1">
        <v>-0.39479999999999998</v>
      </c>
      <c r="I142" s="1">
        <v>1E-3</v>
      </c>
      <c r="J142" s="1">
        <v>2.6484999999999999</v>
      </c>
      <c r="K142" s="1">
        <v>3.5074000000000001</v>
      </c>
      <c r="L142" s="1">
        <v>2.2294</v>
      </c>
      <c r="M142" s="1">
        <v>-54.8</v>
      </c>
      <c r="N142" s="1">
        <v>1</v>
      </c>
      <c r="O142" s="1">
        <v>2.4411</v>
      </c>
      <c r="P142" s="1">
        <v>0.89239999999999997</v>
      </c>
      <c r="Q142" s="1">
        <v>0.40889999999999999</v>
      </c>
      <c r="R142" s="1">
        <v>-0.61419999999999997</v>
      </c>
      <c r="S142" s="1">
        <v>3.7000000000000002E-3</v>
      </c>
      <c r="T142" s="1">
        <v>1.1838</v>
      </c>
      <c r="U142" s="1">
        <v>2.4352</v>
      </c>
      <c r="V142" s="1">
        <v>2.0615000000000001</v>
      </c>
      <c r="W142" s="1">
        <v>100.7</v>
      </c>
      <c r="X142" s="1">
        <v>1</v>
      </c>
      <c r="Y142" s="1">
        <v>1.5934999999999999</v>
      </c>
      <c r="AB142" s="1">
        <v>-0.7581</v>
      </c>
      <c r="AC142" s="1">
        <v>0.1033</v>
      </c>
      <c r="AD142" s="1">
        <v>3.2094</v>
      </c>
      <c r="AE142" s="1">
        <v>4.6456999999999997</v>
      </c>
      <c r="AF142" s="1">
        <v>2.3957999999999999</v>
      </c>
    </row>
    <row r="143" spans="1:32" s="1" customFormat="1" ht="11.25" x14ac:dyDescent="0.2">
      <c r="A143" s="1">
        <v>130</v>
      </c>
      <c r="B143" s="1">
        <v>1</v>
      </c>
      <c r="C143" s="1">
        <v>25.2</v>
      </c>
      <c r="D143" s="1">
        <v>1</v>
      </c>
      <c r="E143" s="1">
        <v>2.0703</v>
      </c>
      <c r="F143" s="1">
        <v>0.78149999999999997</v>
      </c>
      <c r="G143" s="1">
        <v>0.53290000000000004</v>
      </c>
      <c r="H143" s="1">
        <v>-0.51849999999999996</v>
      </c>
      <c r="I143" s="1">
        <v>1E-3</v>
      </c>
      <c r="J143" s="1">
        <v>2.92</v>
      </c>
      <c r="K143" s="1">
        <v>3.5617000000000001</v>
      </c>
      <c r="L143" s="1">
        <v>1.962</v>
      </c>
      <c r="M143" s="1">
        <v>-55.2</v>
      </c>
      <c r="N143" s="1">
        <v>1</v>
      </c>
      <c r="O143" s="1">
        <v>2.4759000000000002</v>
      </c>
      <c r="P143" s="1">
        <v>0.8871</v>
      </c>
      <c r="Q143" s="1">
        <v>0.32269999999999999</v>
      </c>
      <c r="R143" s="1">
        <v>-0.29330000000000001</v>
      </c>
      <c r="S143" s="1">
        <v>3.8E-3</v>
      </c>
      <c r="T143" s="1">
        <v>1.3853</v>
      </c>
      <c r="U143" s="1">
        <v>2.5659999999999998</v>
      </c>
      <c r="V143" s="1">
        <v>1.8089</v>
      </c>
      <c r="W143" s="1">
        <v>100.5</v>
      </c>
      <c r="X143" s="1">
        <v>1</v>
      </c>
      <c r="Y143" s="1">
        <v>1.6850000000000001</v>
      </c>
      <c r="AB143" s="1">
        <v>-0.47239999999999999</v>
      </c>
      <c r="AC143" s="1">
        <v>6.1100000000000002E-2</v>
      </c>
      <c r="AD143" s="1">
        <v>3.0905</v>
      </c>
      <c r="AE143" s="1">
        <v>4.4862000000000002</v>
      </c>
      <c r="AF143" s="1">
        <v>2.1105999999999998</v>
      </c>
    </row>
    <row r="144" spans="1:32" s="1" customFormat="1" ht="11.25" x14ac:dyDescent="0.2">
      <c r="A144" s="1">
        <v>131</v>
      </c>
      <c r="B144" s="1">
        <v>1</v>
      </c>
      <c r="C144" s="1">
        <v>25.1</v>
      </c>
      <c r="D144" s="1">
        <v>1</v>
      </c>
      <c r="E144" s="1">
        <v>2.0038999999999998</v>
      </c>
      <c r="F144" s="1">
        <v>0.77880000000000005</v>
      </c>
      <c r="G144" s="1">
        <v>0.51639999999999997</v>
      </c>
      <c r="H144" s="1">
        <v>-0.56499999999999995</v>
      </c>
      <c r="I144" s="1">
        <v>6.9999999999999999E-4</v>
      </c>
      <c r="J144" s="1">
        <v>2.6227999999999998</v>
      </c>
      <c r="K144" s="1">
        <v>3.4493999999999998</v>
      </c>
      <c r="L144" s="1">
        <v>2.1882999999999999</v>
      </c>
      <c r="M144" s="1">
        <v>-55</v>
      </c>
      <c r="N144" s="1">
        <v>1</v>
      </c>
      <c r="O144" s="1">
        <v>2.3727999999999998</v>
      </c>
      <c r="P144" s="1">
        <v>0.88280000000000003</v>
      </c>
      <c r="Q144" s="1">
        <v>0.45750000000000002</v>
      </c>
      <c r="R144" s="1">
        <v>-0.41539999999999999</v>
      </c>
      <c r="S144" s="1">
        <v>3.3E-3</v>
      </c>
      <c r="T144" s="1">
        <v>1.2799</v>
      </c>
      <c r="U144" s="1">
        <v>2.5110000000000001</v>
      </c>
      <c r="V144" s="1">
        <v>2.0274000000000001</v>
      </c>
      <c r="W144" s="1">
        <v>100.9</v>
      </c>
      <c r="X144" s="1">
        <v>1</v>
      </c>
      <c r="Y144" s="1">
        <v>1.6327</v>
      </c>
      <c r="AB144" s="1">
        <v>-0.71399999999999997</v>
      </c>
      <c r="AC144" s="1">
        <v>5.5300000000000002E-2</v>
      </c>
      <c r="AD144" s="1">
        <v>3.1474000000000002</v>
      </c>
      <c r="AE144" s="1">
        <v>4.4977</v>
      </c>
      <c r="AF144" s="1">
        <v>2.3416000000000001</v>
      </c>
    </row>
    <row r="145" spans="1:32" s="1" customFormat="1" ht="11.25" x14ac:dyDescent="0.2">
      <c r="A145" s="1">
        <v>132</v>
      </c>
      <c r="B145" s="1">
        <v>1</v>
      </c>
      <c r="C145" s="1">
        <v>25</v>
      </c>
      <c r="D145" s="1">
        <v>1</v>
      </c>
      <c r="E145" s="1">
        <v>2.2139000000000002</v>
      </c>
      <c r="F145" s="1">
        <v>0.78690000000000004</v>
      </c>
      <c r="G145" s="1">
        <v>0.53979999999999995</v>
      </c>
      <c r="H145" s="1">
        <v>-0.53249999999999997</v>
      </c>
      <c r="I145" s="1">
        <v>1E-3</v>
      </c>
      <c r="J145" s="1">
        <v>2.9045999999999998</v>
      </c>
      <c r="K145" s="1">
        <v>3.6766999999999999</v>
      </c>
      <c r="L145" s="1">
        <v>1.7574000000000001</v>
      </c>
      <c r="M145" s="1">
        <v>-55.4</v>
      </c>
      <c r="N145" s="1">
        <v>1</v>
      </c>
      <c r="O145" s="1">
        <v>2.6823000000000001</v>
      </c>
      <c r="P145" s="1">
        <v>0.90169999999999995</v>
      </c>
      <c r="Q145" s="1">
        <v>0.3407</v>
      </c>
      <c r="R145" s="1">
        <v>-0.2944</v>
      </c>
      <c r="S145" s="1">
        <v>3.7000000000000002E-3</v>
      </c>
      <c r="T145" s="1">
        <v>1.234</v>
      </c>
      <c r="U145" s="1">
        <v>2.6078000000000001</v>
      </c>
      <c r="V145" s="1">
        <v>1.5987</v>
      </c>
      <c r="W145" s="1">
        <v>100.8</v>
      </c>
      <c r="X145" s="1">
        <v>1</v>
      </c>
      <c r="Y145" s="1">
        <v>1.6812</v>
      </c>
      <c r="AB145" s="1">
        <v>-0.78359999999999996</v>
      </c>
      <c r="AC145" s="1">
        <v>0.1646</v>
      </c>
      <c r="AD145" s="1">
        <v>3.3527999999999998</v>
      </c>
      <c r="AE145" s="1">
        <v>4.7965</v>
      </c>
      <c r="AF145" s="1">
        <v>1.9179999999999999</v>
      </c>
    </row>
    <row r="146" spans="1:32" s="1" customFormat="1" ht="11.25" x14ac:dyDescent="0.2">
      <c r="A146" s="1">
        <v>133</v>
      </c>
      <c r="B146" s="1">
        <v>1</v>
      </c>
      <c r="C146" s="1">
        <v>25</v>
      </c>
      <c r="D146" s="1">
        <v>1</v>
      </c>
      <c r="E146" s="1">
        <v>2.0419999999999998</v>
      </c>
      <c r="F146" s="1">
        <v>0.77900000000000003</v>
      </c>
      <c r="G146" s="1">
        <v>0.52859999999999996</v>
      </c>
      <c r="H146" s="1">
        <v>-0.45660000000000001</v>
      </c>
      <c r="I146" s="1">
        <v>1E-3</v>
      </c>
      <c r="J146" s="1">
        <v>2.9811000000000001</v>
      </c>
      <c r="K146" s="1">
        <v>3.6699000000000002</v>
      </c>
      <c r="L146" s="1">
        <v>2.2073999999999998</v>
      </c>
      <c r="M146" s="1">
        <v>-56.5</v>
      </c>
      <c r="N146" s="1">
        <v>1</v>
      </c>
      <c r="O146" s="1">
        <v>2.4647000000000001</v>
      </c>
      <c r="P146" s="1">
        <v>0.89890000000000003</v>
      </c>
      <c r="Q146" s="1">
        <v>0.31330000000000002</v>
      </c>
      <c r="R146" s="1">
        <v>-0.65069999999999995</v>
      </c>
      <c r="S146" s="1">
        <v>4.4000000000000003E-3</v>
      </c>
      <c r="T146" s="1">
        <v>1.3469</v>
      </c>
      <c r="U146" s="1">
        <v>2.5344000000000002</v>
      </c>
      <c r="V146" s="1">
        <v>2.0348000000000002</v>
      </c>
      <c r="W146" s="1">
        <v>101</v>
      </c>
      <c r="X146" s="1">
        <v>1</v>
      </c>
      <c r="Y146" s="1">
        <v>1.5482</v>
      </c>
      <c r="AB146" s="1">
        <v>-0.62649999999999995</v>
      </c>
      <c r="AC146" s="1">
        <v>0.1799</v>
      </c>
      <c r="AD146" s="1">
        <v>3.5486</v>
      </c>
      <c r="AE146" s="1">
        <v>4.8655999999999997</v>
      </c>
      <c r="AF146" s="1">
        <v>2.3906999999999998</v>
      </c>
    </row>
    <row r="147" spans="1:32" s="1" customFormat="1" ht="11.25" x14ac:dyDescent="0.2">
      <c r="A147" s="1">
        <v>134</v>
      </c>
      <c r="B147" s="1">
        <v>1</v>
      </c>
      <c r="C147" s="1">
        <v>25</v>
      </c>
      <c r="D147" s="1">
        <v>1</v>
      </c>
      <c r="E147" s="1">
        <v>2.0676999999999999</v>
      </c>
      <c r="F147" s="1">
        <v>0.78300000000000003</v>
      </c>
      <c r="G147" s="1">
        <v>0.34689999999999999</v>
      </c>
      <c r="H147" s="1">
        <v>-0.36220000000000002</v>
      </c>
      <c r="I147" s="1">
        <v>8.9999999999999998E-4</v>
      </c>
      <c r="J147" s="1">
        <v>2.7578</v>
      </c>
      <c r="K147" s="1">
        <v>3.5434999999999999</v>
      </c>
      <c r="L147" s="1">
        <v>2.0133000000000001</v>
      </c>
      <c r="M147" s="1">
        <v>-56</v>
      </c>
      <c r="N147" s="1">
        <v>1</v>
      </c>
      <c r="O147" s="1">
        <v>2.4950000000000001</v>
      </c>
      <c r="P147" s="1">
        <v>0.89629999999999999</v>
      </c>
      <c r="Q147" s="1">
        <v>0.3387</v>
      </c>
      <c r="R147" s="1">
        <v>-0.37230000000000002</v>
      </c>
      <c r="S147" s="1">
        <v>3.0000000000000001E-3</v>
      </c>
      <c r="T147" s="1">
        <v>1.0819000000000001</v>
      </c>
      <c r="U147" s="1">
        <v>2.4990000000000001</v>
      </c>
      <c r="V147" s="1">
        <v>1.8493999999999999</v>
      </c>
      <c r="W147" s="1">
        <v>100.7</v>
      </c>
      <c r="X147" s="1">
        <v>1</v>
      </c>
      <c r="Y147" s="1">
        <v>1.6092</v>
      </c>
      <c r="AB147" s="1">
        <v>-0.71879999999999999</v>
      </c>
      <c r="AC147" s="1">
        <v>0.1071</v>
      </c>
      <c r="AD147" s="1">
        <v>3.2530999999999999</v>
      </c>
      <c r="AE147" s="1">
        <v>4.7907000000000002</v>
      </c>
      <c r="AF147" s="1">
        <v>2.1749000000000001</v>
      </c>
    </row>
    <row r="148" spans="1:32" s="1" customFormat="1" ht="11.25" x14ac:dyDescent="0.2">
      <c r="A148" s="1">
        <v>135</v>
      </c>
      <c r="B148" s="1">
        <v>1</v>
      </c>
      <c r="C148" s="1">
        <v>25</v>
      </c>
      <c r="D148" s="1">
        <v>1</v>
      </c>
      <c r="E148" s="1">
        <v>2.0785999999999998</v>
      </c>
      <c r="F148" s="1">
        <v>0.78129999999999999</v>
      </c>
      <c r="G148" s="1">
        <v>0.36109999999999998</v>
      </c>
      <c r="H148" s="1">
        <v>-0.60219999999999996</v>
      </c>
      <c r="I148" s="1">
        <v>1.1000000000000001E-3</v>
      </c>
      <c r="J148" s="1">
        <v>2.9226000000000001</v>
      </c>
      <c r="K148" s="1">
        <v>3.5249000000000001</v>
      </c>
      <c r="L148" s="1">
        <v>1.9563999999999999</v>
      </c>
      <c r="M148" s="1">
        <v>-55.4</v>
      </c>
      <c r="N148" s="1">
        <v>1</v>
      </c>
      <c r="O148" s="1">
        <v>2.4777</v>
      </c>
      <c r="P148" s="1">
        <v>0.88929999999999998</v>
      </c>
      <c r="Q148" s="1">
        <v>0.39129999999999998</v>
      </c>
      <c r="R148" s="1">
        <v>-0.31319999999999998</v>
      </c>
      <c r="S148" s="1">
        <v>4.1000000000000003E-3</v>
      </c>
      <c r="T148" s="1">
        <v>1.3837999999999999</v>
      </c>
      <c r="U148" s="1">
        <v>2.5726</v>
      </c>
      <c r="V148" s="1">
        <v>1.7990999999999999</v>
      </c>
      <c r="W148" s="1">
        <v>100.7</v>
      </c>
      <c r="X148" s="1">
        <v>1</v>
      </c>
      <c r="Y148" s="1">
        <v>1.6616</v>
      </c>
      <c r="AB148" s="1">
        <v>-0.54459999999999997</v>
      </c>
      <c r="AC148" s="1">
        <v>8.0299999999999996E-2</v>
      </c>
      <c r="AD148" s="1">
        <v>3.1343000000000001</v>
      </c>
      <c r="AE148" s="1">
        <v>4.5392999999999999</v>
      </c>
      <c r="AF148" s="1">
        <v>2.1061000000000001</v>
      </c>
    </row>
    <row r="149" spans="1:32" s="1" customFormat="1" ht="11.25" x14ac:dyDescent="0.2">
      <c r="A149" s="1">
        <v>136</v>
      </c>
      <c r="B149" s="1">
        <v>1</v>
      </c>
      <c r="C149" s="1">
        <v>25</v>
      </c>
      <c r="D149" s="1">
        <v>1</v>
      </c>
      <c r="E149" s="1">
        <v>2.0064000000000002</v>
      </c>
      <c r="F149" s="1">
        <v>0.77990000000000004</v>
      </c>
      <c r="G149" s="1">
        <v>0.53139999999999998</v>
      </c>
      <c r="H149" s="1">
        <v>-0.57750000000000001</v>
      </c>
      <c r="I149" s="1">
        <v>6.9999999999999999E-4</v>
      </c>
      <c r="J149" s="1">
        <v>2.8729</v>
      </c>
      <c r="K149" s="1">
        <v>3.5825999999999998</v>
      </c>
      <c r="L149" s="1">
        <v>2.1272000000000002</v>
      </c>
      <c r="M149" s="1">
        <v>-55.3</v>
      </c>
      <c r="N149" s="1">
        <v>1</v>
      </c>
      <c r="O149" s="1">
        <v>2.399</v>
      </c>
      <c r="P149" s="1">
        <v>0.89049999999999996</v>
      </c>
      <c r="Q149" s="1">
        <v>0.28799999999999998</v>
      </c>
      <c r="R149" s="1">
        <v>-0.44230000000000003</v>
      </c>
      <c r="S149" s="1">
        <v>3.3E-3</v>
      </c>
      <c r="T149" s="1">
        <v>1.3671</v>
      </c>
      <c r="U149" s="1">
        <v>2.5407999999999999</v>
      </c>
      <c r="V149" s="1">
        <v>1.9612000000000001</v>
      </c>
      <c r="W149" s="1">
        <v>101</v>
      </c>
      <c r="X149" s="1">
        <v>1</v>
      </c>
      <c r="Y149" s="1">
        <v>1.5822000000000001</v>
      </c>
      <c r="AB149" s="1">
        <v>-0.54759999999999998</v>
      </c>
      <c r="AC149" s="1">
        <v>9.7799999999999998E-2</v>
      </c>
      <c r="AD149" s="1">
        <v>3.2107999999999999</v>
      </c>
      <c r="AE149" s="1">
        <v>4.6837999999999997</v>
      </c>
      <c r="AF149" s="1">
        <v>2.2888000000000002</v>
      </c>
    </row>
    <row r="150" spans="1:32" s="1" customFormat="1" ht="11.25" x14ac:dyDescent="0.2">
      <c r="A150" s="1">
        <v>137</v>
      </c>
      <c r="B150" s="1">
        <v>1</v>
      </c>
      <c r="C150" s="1">
        <v>25</v>
      </c>
      <c r="D150" s="1">
        <v>1</v>
      </c>
      <c r="E150" s="1">
        <v>1.9923</v>
      </c>
      <c r="F150" s="1">
        <v>0.77759999999999996</v>
      </c>
      <c r="G150" s="1">
        <v>0.33889999999999998</v>
      </c>
      <c r="H150" s="1">
        <v>-0.34989999999999999</v>
      </c>
      <c r="I150" s="1">
        <v>8.9999999999999998E-4</v>
      </c>
      <c r="J150" s="1">
        <v>2.8311000000000002</v>
      </c>
      <c r="K150" s="1">
        <v>3.4912000000000001</v>
      </c>
      <c r="L150" s="1">
        <v>2.17</v>
      </c>
      <c r="M150" s="1">
        <v>-55.4</v>
      </c>
      <c r="N150" s="1">
        <v>1</v>
      </c>
      <c r="O150" s="1">
        <v>2.387</v>
      </c>
      <c r="P150" s="1">
        <v>0.88539999999999996</v>
      </c>
      <c r="Q150" s="1">
        <v>0.36059999999999998</v>
      </c>
      <c r="R150" s="1">
        <v>-0.312</v>
      </c>
      <c r="S150" s="1">
        <v>3.3E-3</v>
      </c>
      <c r="T150" s="1">
        <v>1.3244</v>
      </c>
      <c r="U150" s="1">
        <v>2.4594999999999998</v>
      </c>
      <c r="V150" s="1">
        <v>2.0083000000000002</v>
      </c>
      <c r="W150" s="1">
        <v>100.8</v>
      </c>
      <c r="X150" s="1">
        <v>1</v>
      </c>
      <c r="Y150" s="1">
        <v>1.5938000000000001</v>
      </c>
      <c r="AB150" s="1">
        <v>-0.51890000000000003</v>
      </c>
      <c r="AC150" s="1">
        <v>7.4800000000000005E-2</v>
      </c>
      <c r="AD150" s="1">
        <v>3.0962999999999998</v>
      </c>
      <c r="AE150" s="1">
        <v>4.5168999999999997</v>
      </c>
      <c r="AF150" s="1">
        <v>2.3228</v>
      </c>
    </row>
    <row r="151" spans="1:32" s="1" customFormat="1" ht="11.25" x14ac:dyDescent="0.2">
      <c r="A151" s="1">
        <v>138</v>
      </c>
      <c r="B151" s="1">
        <v>1</v>
      </c>
      <c r="C151" s="1">
        <v>25</v>
      </c>
      <c r="D151" s="1">
        <v>1</v>
      </c>
      <c r="E151" s="1">
        <v>2.1316999999999999</v>
      </c>
      <c r="F151" s="1">
        <v>0.78639999999999999</v>
      </c>
      <c r="G151" s="1">
        <v>0.28860000000000002</v>
      </c>
      <c r="H151" s="1">
        <v>-0.37680000000000002</v>
      </c>
      <c r="I151" s="1">
        <v>4.0000000000000002E-4</v>
      </c>
      <c r="J151" s="1">
        <v>2.9558</v>
      </c>
      <c r="K151" s="1">
        <v>3.6850999999999998</v>
      </c>
      <c r="L151" s="1">
        <v>1.9612000000000001</v>
      </c>
      <c r="M151" s="1">
        <v>-55.5</v>
      </c>
      <c r="N151" s="1">
        <v>1</v>
      </c>
      <c r="O151" s="1">
        <v>2.5451999999999999</v>
      </c>
      <c r="P151" s="1">
        <v>0.88939999999999997</v>
      </c>
      <c r="Q151" s="1">
        <v>0.25719999999999998</v>
      </c>
      <c r="R151" s="1">
        <v>-0.3639</v>
      </c>
      <c r="S151" s="1">
        <v>2.8999999999999998E-3</v>
      </c>
      <c r="T151" s="1">
        <v>1.3996999999999999</v>
      </c>
      <c r="U151" s="1">
        <v>2.6408999999999998</v>
      </c>
      <c r="V151" s="1">
        <v>1.8089999999999999</v>
      </c>
      <c r="W151" s="1">
        <v>101</v>
      </c>
      <c r="X151" s="1">
        <v>1</v>
      </c>
      <c r="Y151" s="1">
        <v>1.7206999999999999</v>
      </c>
      <c r="AB151" s="1">
        <v>-0.65939999999999999</v>
      </c>
      <c r="AC151" s="1">
        <v>5.7500000000000002E-2</v>
      </c>
      <c r="AD151" s="1">
        <v>3.2793999999999999</v>
      </c>
      <c r="AE151" s="1">
        <v>4.6714000000000002</v>
      </c>
      <c r="AF151" s="1">
        <v>2.1063000000000001</v>
      </c>
    </row>
    <row r="152" spans="1:32" s="1" customFormat="1" ht="11.25" x14ac:dyDescent="0.2">
      <c r="A152" s="1">
        <v>139</v>
      </c>
      <c r="B152" s="1">
        <v>1</v>
      </c>
      <c r="C152" s="1">
        <v>25</v>
      </c>
      <c r="D152" s="1">
        <v>1</v>
      </c>
      <c r="E152" s="1">
        <v>2.1928999999999998</v>
      </c>
      <c r="F152" s="1">
        <v>0.7863</v>
      </c>
      <c r="G152" s="1">
        <v>0.51759999999999995</v>
      </c>
      <c r="H152" s="1">
        <v>-0.43869999999999998</v>
      </c>
      <c r="I152" s="1">
        <v>8.0000000000000004E-4</v>
      </c>
      <c r="J152" s="1">
        <v>2.8614999999999999</v>
      </c>
      <c r="K152" s="1">
        <v>3.597</v>
      </c>
      <c r="L152" s="1">
        <v>1.8006</v>
      </c>
      <c r="M152" s="1">
        <v>-55.5</v>
      </c>
      <c r="N152" s="1">
        <v>1</v>
      </c>
      <c r="O152" s="1">
        <v>2.6305000000000001</v>
      </c>
      <c r="P152" s="1">
        <v>0.89390000000000003</v>
      </c>
      <c r="Q152" s="1">
        <v>0.27850000000000003</v>
      </c>
      <c r="R152" s="1">
        <v>-0.43130000000000002</v>
      </c>
      <c r="S152" s="1">
        <v>2.8E-3</v>
      </c>
      <c r="T152" s="1">
        <v>1.3866000000000001</v>
      </c>
      <c r="U152" s="1">
        <v>2.5598000000000001</v>
      </c>
      <c r="V152" s="1">
        <v>1.6482000000000001</v>
      </c>
      <c r="W152" s="1">
        <v>100.5</v>
      </c>
      <c r="X152" s="1">
        <v>1</v>
      </c>
      <c r="Y152" s="1">
        <v>1.7133</v>
      </c>
      <c r="AB152" s="1">
        <v>-0.75390000000000001</v>
      </c>
      <c r="AC152" s="1">
        <v>0.10630000000000001</v>
      </c>
      <c r="AD152" s="1">
        <v>3.2014</v>
      </c>
      <c r="AE152" s="1">
        <v>4.6985000000000001</v>
      </c>
      <c r="AF152" s="1">
        <v>1.952</v>
      </c>
    </row>
    <row r="153" spans="1:32" s="1" customFormat="1" ht="11.25" x14ac:dyDescent="0.2">
      <c r="A153" s="1">
        <v>140</v>
      </c>
      <c r="B153" s="1">
        <v>1</v>
      </c>
      <c r="C153" s="1">
        <v>25</v>
      </c>
      <c r="D153" s="1">
        <v>1</v>
      </c>
      <c r="E153" s="1">
        <v>2.0710000000000002</v>
      </c>
      <c r="F153" s="1">
        <v>0.78300000000000003</v>
      </c>
      <c r="G153" s="1">
        <v>0.45329999999999998</v>
      </c>
      <c r="H153" s="1">
        <v>-0.56689999999999996</v>
      </c>
      <c r="I153" s="1">
        <v>8.9999999999999998E-4</v>
      </c>
      <c r="J153" s="1">
        <v>2.8043</v>
      </c>
      <c r="K153" s="1">
        <v>3.5097999999999998</v>
      </c>
      <c r="L153" s="1">
        <v>1.8407</v>
      </c>
      <c r="M153" s="1">
        <v>-55.6</v>
      </c>
      <c r="N153" s="1">
        <v>1</v>
      </c>
      <c r="O153" s="1">
        <v>2.5240999999999998</v>
      </c>
      <c r="P153" s="1">
        <v>0.90039999999999998</v>
      </c>
      <c r="Q153" s="1">
        <v>0.4476</v>
      </c>
      <c r="R153" s="1">
        <v>-0.34279999999999999</v>
      </c>
      <c r="S153" s="1">
        <v>1.6999999999999999E-3</v>
      </c>
      <c r="T153" s="1">
        <v>1.2346999999999999</v>
      </c>
      <c r="U153" s="1">
        <v>2.4190999999999998</v>
      </c>
      <c r="V153" s="1">
        <v>1.6765000000000001</v>
      </c>
      <c r="W153" s="1">
        <v>100.9</v>
      </c>
      <c r="X153" s="1">
        <v>1</v>
      </c>
      <c r="Y153" s="1">
        <v>1.5434000000000001</v>
      </c>
      <c r="AB153" s="1">
        <v>-0.68710000000000004</v>
      </c>
      <c r="AC153" s="1">
        <v>0.19700000000000001</v>
      </c>
      <c r="AD153" s="1">
        <v>3.2342</v>
      </c>
      <c r="AE153" s="1">
        <v>4.6158999999999999</v>
      </c>
      <c r="AF153" s="1">
        <v>2.0091000000000001</v>
      </c>
    </row>
    <row r="154" spans="1:32" s="1" customFormat="1" ht="11.25" x14ac:dyDescent="0.2">
      <c r="A154" s="1">
        <v>141</v>
      </c>
      <c r="B154" s="1">
        <v>1</v>
      </c>
      <c r="C154" s="1">
        <v>25</v>
      </c>
      <c r="D154" s="1">
        <v>1</v>
      </c>
      <c r="E154" s="1">
        <v>1.9869000000000001</v>
      </c>
      <c r="F154" s="1">
        <v>0.78010000000000002</v>
      </c>
      <c r="G154" s="1">
        <v>0.32550000000000001</v>
      </c>
      <c r="H154" s="1">
        <v>-0.32290000000000002</v>
      </c>
      <c r="I154" s="1">
        <v>8.9999999999999998E-4</v>
      </c>
      <c r="J154" s="1">
        <v>3.0049000000000001</v>
      </c>
      <c r="K154" s="1">
        <v>3.5617999999999999</v>
      </c>
      <c r="L154" s="1">
        <v>1.9457</v>
      </c>
      <c r="M154" s="1">
        <v>-55.2</v>
      </c>
      <c r="N154" s="1">
        <v>1</v>
      </c>
      <c r="O154" s="1">
        <v>2.3654999999999999</v>
      </c>
      <c r="P154" s="1">
        <v>0.89129999999999998</v>
      </c>
      <c r="Q154" s="1">
        <v>0.24809999999999999</v>
      </c>
      <c r="R154" s="1">
        <v>-0.35099999999999998</v>
      </c>
      <c r="S154" s="1">
        <v>3.3999999999999998E-3</v>
      </c>
      <c r="T154" s="1">
        <v>1.4016999999999999</v>
      </c>
      <c r="U154" s="1">
        <v>2.5842999999999998</v>
      </c>
      <c r="V154" s="1">
        <v>1.7866</v>
      </c>
      <c r="W154" s="1">
        <v>100.8</v>
      </c>
      <c r="X154" s="1">
        <v>1</v>
      </c>
      <c r="Y154" s="1">
        <v>1.5703</v>
      </c>
      <c r="AB154" s="1">
        <v>-0.50349999999999995</v>
      </c>
      <c r="AC154" s="1">
        <v>0.1082</v>
      </c>
      <c r="AD154" s="1">
        <v>3.1265000000000001</v>
      </c>
      <c r="AE154" s="1">
        <v>4.5316999999999998</v>
      </c>
      <c r="AF154" s="1">
        <v>2.1015999999999999</v>
      </c>
    </row>
  </sheetData>
  <conditionalFormatting sqref="A25">
    <cfRule type="duplicateValues" dxfId="12" priority="6"/>
  </conditionalFormatting>
  <conditionalFormatting sqref="A26:A102 A104:A142 A144">
    <cfRule type="duplicateValues" dxfId="11" priority="5"/>
  </conditionalFormatting>
  <conditionalFormatting sqref="A103">
    <cfRule type="duplicateValues" dxfId="10" priority="3"/>
  </conditionalFormatting>
  <conditionalFormatting sqref="A143">
    <cfRule type="duplicateValues" dxfId="9" priority="2"/>
  </conditionalFormatting>
  <conditionalFormatting sqref="A145">
    <cfRule type="duplicateValues" dxfId="8" priority="1"/>
  </conditionalFormatting>
  <conditionalFormatting sqref="A146:A154">
    <cfRule type="duplicateValues" dxfId="7" priority="4"/>
  </conditionalFormatting>
  <conditionalFormatting sqref="A155:A50121 A19:A24">
    <cfRule type="duplicateValues" dxfId="6" priority="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F13D-7370-4F2E-9636-B30EA74D5FA2}">
  <dimension ref="A1:AF154"/>
  <sheetViews>
    <sheetView tabSelected="1" topLeftCell="A73" workbookViewId="0">
      <selection activeCell="F117" sqref="F117"/>
    </sheetView>
  </sheetViews>
  <sheetFormatPr defaultColWidth="9.140625" defaultRowHeight="15" x14ac:dyDescent="0.25"/>
  <cols>
    <col min="1" max="25" width="9.140625" style="1"/>
    <col min="27" max="16384" width="9.140625" style="1"/>
  </cols>
  <sheetData>
    <row r="1" spans="1:32" ht="11.25" x14ac:dyDescent="0.2">
      <c r="C1" s="1" t="s">
        <v>93</v>
      </c>
      <c r="Z1" s="1"/>
    </row>
    <row r="2" spans="1:32" ht="11.25" x14ac:dyDescent="0.2">
      <c r="Z2" s="1"/>
    </row>
    <row r="3" spans="1:32" s="2" customFormat="1" ht="11.25" x14ac:dyDescent="0.2">
      <c r="A3" s="2" t="s">
        <v>1</v>
      </c>
      <c r="B3" s="2" t="s">
        <v>94</v>
      </c>
      <c r="D3" s="2" t="s">
        <v>36</v>
      </c>
      <c r="E3" s="2" t="s">
        <v>35</v>
      </c>
    </row>
    <row r="4" spans="1:32" s="2" customFormat="1" ht="11.25" x14ac:dyDescent="0.2">
      <c r="A4" s="2" t="s">
        <v>2</v>
      </c>
      <c r="B4" s="2" t="s">
        <v>42</v>
      </c>
      <c r="D4" s="2" t="s">
        <v>34</v>
      </c>
      <c r="E4" s="2" t="s">
        <v>89</v>
      </c>
    </row>
    <row r="5" spans="1:32" s="2" customFormat="1" ht="11.25" x14ac:dyDescent="0.2">
      <c r="A5" s="2" t="s">
        <v>3</v>
      </c>
      <c r="B5" s="2" t="s">
        <v>42</v>
      </c>
      <c r="D5" s="2" t="s">
        <v>33</v>
      </c>
      <c r="E5" s="2">
        <f>COUNT(B19:B154)</f>
        <v>136</v>
      </c>
    </row>
    <row r="6" spans="1:32" s="2" customFormat="1" ht="11.25" x14ac:dyDescent="0.2">
      <c r="A6" s="2" t="s">
        <v>4</v>
      </c>
      <c r="B6" s="2" t="s">
        <v>44</v>
      </c>
      <c r="D6" s="2" t="s">
        <v>32</v>
      </c>
      <c r="E6" s="2">
        <f>SUMIF(B19:B154,1)</f>
        <v>136</v>
      </c>
    </row>
    <row r="7" spans="1:32" s="2" customFormat="1" ht="11.25" x14ac:dyDescent="0.2">
      <c r="A7" s="2" t="s">
        <v>5</v>
      </c>
      <c r="B7" s="2" t="s">
        <v>45</v>
      </c>
      <c r="D7" s="2" t="s">
        <v>31</v>
      </c>
      <c r="E7" s="2">
        <f>E5-E6</f>
        <v>0</v>
      </c>
    </row>
    <row r="8" spans="1:32" ht="11.25" x14ac:dyDescent="0.2">
      <c r="Z8" s="1"/>
    </row>
    <row r="9" spans="1:32" ht="11.25" x14ac:dyDescent="0.2"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54</v>
      </c>
      <c r="L9" s="1" t="s">
        <v>55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54</v>
      </c>
      <c r="V9" s="1" t="s">
        <v>55</v>
      </c>
      <c r="W9" s="1" t="s">
        <v>46</v>
      </c>
      <c r="X9" s="1" t="s">
        <v>47</v>
      </c>
      <c r="Y9" s="1" t="s">
        <v>48</v>
      </c>
      <c r="Z9" s="4" t="s">
        <v>49</v>
      </c>
      <c r="AA9" s="1" t="s">
        <v>50</v>
      </c>
      <c r="AB9" s="1" t="s">
        <v>51</v>
      </c>
      <c r="AC9" s="1" t="s">
        <v>52</v>
      </c>
      <c r="AD9" s="1" t="s">
        <v>53</v>
      </c>
      <c r="AE9" s="1" t="s">
        <v>54</v>
      </c>
      <c r="AF9" s="1" t="s">
        <v>55</v>
      </c>
    </row>
    <row r="10" spans="1:32" ht="11.25" x14ac:dyDescent="0.2">
      <c r="A10" s="2" t="s">
        <v>6</v>
      </c>
      <c r="B10" s="2" t="s">
        <v>7</v>
      </c>
      <c r="C10" s="1" t="s">
        <v>56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39</v>
      </c>
      <c r="I10" s="1" t="s">
        <v>12</v>
      </c>
      <c r="J10" s="1" t="s">
        <v>13</v>
      </c>
      <c r="K10" s="1" t="s">
        <v>30</v>
      </c>
      <c r="L10" s="1" t="s">
        <v>29</v>
      </c>
      <c r="M10" s="1" t="s">
        <v>38</v>
      </c>
      <c r="N10" s="1" t="s">
        <v>28</v>
      </c>
      <c r="O10" s="1" t="s">
        <v>27</v>
      </c>
      <c r="P10" s="1" t="s">
        <v>26</v>
      </c>
      <c r="Q10" s="1" t="s">
        <v>25</v>
      </c>
      <c r="R10" s="1" t="s">
        <v>37</v>
      </c>
      <c r="S10" s="1" t="s">
        <v>24</v>
      </c>
      <c r="T10" s="1" t="s">
        <v>23</v>
      </c>
      <c r="U10" s="1" t="s">
        <v>22</v>
      </c>
      <c r="V10" s="1" t="s">
        <v>21</v>
      </c>
      <c r="W10" s="1" t="s">
        <v>57</v>
      </c>
      <c r="X10" s="1" t="s">
        <v>58</v>
      </c>
      <c r="Y10" s="1" t="s">
        <v>59</v>
      </c>
      <c r="Z10" s="4" t="s">
        <v>26</v>
      </c>
      <c r="AA10" s="1" t="s">
        <v>60</v>
      </c>
      <c r="AB10" s="1" t="s">
        <v>61</v>
      </c>
      <c r="AC10" s="1" t="s">
        <v>62</v>
      </c>
      <c r="AD10" s="1" t="s">
        <v>63</v>
      </c>
      <c r="AE10" s="1" t="s">
        <v>64</v>
      </c>
      <c r="AF10" s="1" t="s">
        <v>65</v>
      </c>
    </row>
    <row r="11" spans="1:32" ht="11.25" x14ac:dyDescent="0.2">
      <c r="D11" s="1" t="s">
        <v>66</v>
      </c>
      <c r="E11" s="1" t="s">
        <v>67</v>
      </c>
      <c r="F11" s="1" t="s">
        <v>68</v>
      </c>
      <c r="G11" s="1" t="s">
        <v>69</v>
      </c>
      <c r="H11" s="1" t="s">
        <v>69</v>
      </c>
      <c r="I11" s="1" t="s">
        <v>70</v>
      </c>
      <c r="J11" s="1" t="s">
        <v>71</v>
      </c>
      <c r="K11" s="1" t="s">
        <v>72</v>
      </c>
      <c r="N11" s="1" t="s">
        <v>73</v>
      </c>
      <c r="O11" s="1" t="s">
        <v>90</v>
      </c>
      <c r="P11" s="1" t="s">
        <v>68</v>
      </c>
      <c r="Q11" s="1" t="s">
        <v>69</v>
      </c>
      <c r="R11" s="1" t="s">
        <v>69</v>
      </c>
      <c r="S11" s="1" t="s">
        <v>70</v>
      </c>
      <c r="T11" s="1" t="s">
        <v>75</v>
      </c>
      <c r="U11" s="1" t="s">
        <v>76</v>
      </c>
      <c r="X11" s="1" t="s">
        <v>73</v>
      </c>
      <c r="Y11" s="1" t="s">
        <v>90</v>
      </c>
      <c r="Z11" s="4" t="s">
        <v>68</v>
      </c>
      <c r="AA11" s="1" t="s">
        <v>69</v>
      </c>
      <c r="AB11" s="1" t="s">
        <v>69</v>
      </c>
      <c r="AC11" s="1" t="s">
        <v>70</v>
      </c>
      <c r="AD11" s="1" t="s">
        <v>71</v>
      </c>
      <c r="AE11" s="1" t="s">
        <v>72</v>
      </c>
    </row>
    <row r="12" spans="1:32" ht="11.25" x14ac:dyDescent="0.2">
      <c r="C12" s="1" t="s">
        <v>77</v>
      </c>
      <c r="D12" s="1" t="s">
        <v>78</v>
      </c>
      <c r="E12" s="1" t="s">
        <v>79</v>
      </c>
      <c r="F12" s="1" t="s">
        <v>79</v>
      </c>
      <c r="G12" s="1" t="s">
        <v>80</v>
      </c>
      <c r="H12" s="1" t="s">
        <v>80</v>
      </c>
      <c r="I12" s="1" t="s">
        <v>0</v>
      </c>
      <c r="J12" s="1" t="s">
        <v>81</v>
      </c>
      <c r="K12" s="1" t="s">
        <v>81</v>
      </c>
      <c r="L12" s="1" t="s">
        <v>82</v>
      </c>
      <c r="M12" s="1" t="s">
        <v>77</v>
      </c>
      <c r="N12" s="1" t="s">
        <v>78</v>
      </c>
      <c r="O12" s="1" t="s">
        <v>79</v>
      </c>
      <c r="P12" s="1" t="s">
        <v>79</v>
      </c>
      <c r="Q12" s="1" t="s">
        <v>80</v>
      </c>
      <c r="R12" s="1" t="s">
        <v>80</v>
      </c>
      <c r="S12" s="1" t="s">
        <v>0</v>
      </c>
      <c r="T12" s="1" t="s">
        <v>81</v>
      </c>
      <c r="U12" s="1" t="s">
        <v>81</v>
      </c>
      <c r="V12" s="1" t="s">
        <v>82</v>
      </c>
      <c r="W12" s="1" t="s">
        <v>77</v>
      </c>
      <c r="X12" s="1" t="s">
        <v>78</v>
      </c>
      <c r="Y12" s="1" t="s">
        <v>79</v>
      </c>
      <c r="Z12" s="4" t="s">
        <v>79</v>
      </c>
      <c r="AA12" s="1" t="s">
        <v>80</v>
      </c>
      <c r="AB12" s="1" t="s">
        <v>80</v>
      </c>
      <c r="AC12" s="1" t="s">
        <v>0</v>
      </c>
      <c r="AD12" s="1" t="s">
        <v>81</v>
      </c>
      <c r="AE12" s="1" t="s">
        <v>81</v>
      </c>
      <c r="AF12" s="1" t="s">
        <v>82</v>
      </c>
    </row>
    <row r="13" spans="1:32" ht="11.25" x14ac:dyDescent="0.2">
      <c r="A13" s="2" t="s">
        <v>14</v>
      </c>
      <c r="C13" s="1">
        <v>28</v>
      </c>
      <c r="D13" s="1">
        <v>1.5</v>
      </c>
      <c r="E13" s="1">
        <v>2.5</v>
      </c>
      <c r="F13" s="1">
        <v>1.2</v>
      </c>
      <c r="G13" s="1">
        <v>100</v>
      </c>
      <c r="H13" s="1">
        <v>100</v>
      </c>
      <c r="I13" s="1">
        <v>1</v>
      </c>
      <c r="J13" s="1">
        <v>3.8</v>
      </c>
      <c r="K13" s="1">
        <v>5</v>
      </c>
      <c r="L13" s="1">
        <v>4.9000000000000004</v>
      </c>
      <c r="M13" s="1">
        <v>-52</v>
      </c>
      <c r="N13" s="1">
        <v>1.5</v>
      </c>
      <c r="O13" s="1">
        <v>3.1</v>
      </c>
      <c r="P13" s="1">
        <v>1.2</v>
      </c>
      <c r="Q13" s="1">
        <v>100</v>
      </c>
      <c r="R13" s="1">
        <v>100</v>
      </c>
      <c r="S13" s="1">
        <v>1</v>
      </c>
      <c r="T13" s="1">
        <v>3.8</v>
      </c>
      <c r="U13" s="1">
        <v>5</v>
      </c>
      <c r="V13" s="1">
        <v>4.9000000000000004</v>
      </c>
      <c r="W13" s="1">
        <v>103</v>
      </c>
      <c r="X13" s="1">
        <v>1.5</v>
      </c>
      <c r="Y13" s="1">
        <v>2.5</v>
      </c>
      <c r="Z13" s="4">
        <v>1.2</v>
      </c>
      <c r="AA13" s="1">
        <v>100</v>
      </c>
      <c r="AB13" s="1">
        <v>100</v>
      </c>
      <c r="AC13" s="1">
        <v>50</v>
      </c>
      <c r="AD13" s="1">
        <v>7</v>
      </c>
      <c r="AE13" s="1">
        <v>7</v>
      </c>
      <c r="AF13" s="1">
        <v>4.9000000000000004</v>
      </c>
    </row>
    <row r="14" spans="1:32" ht="11.25" x14ac:dyDescent="0.2">
      <c r="A14" s="2" t="s">
        <v>16</v>
      </c>
      <c r="C14" s="1">
        <v>22</v>
      </c>
      <c r="D14" s="1">
        <v>0.5</v>
      </c>
      <c r="E14" s="1">
        <v>1.5</v>
      </c>
      <c r="F14" s="1" t="s">
        <v>15</v>
      </c>
      <c r="G14" s="1">
        <v>-100</v>
      </c>
      <c r="H14" s="1">
        <v>-100</v>
      </c>
      <c r="I14" s="1">
        <v>0</v>
      </c>
      <c r="J14" s="1">
        <v>0</v>
      </c>
      <c r="K14" s="1">
        <v>0</v>
      </c>
      <c r="L14" s="1">
        <v>0.9</v>
      </c>
      <c r="M14" s="1">
        <v>-58</v>
      </c>
      <c r="N14" s="1">
        <v>0.5</v>
      </c>
      <c r="O14" s="1">
        <v>1.8</v>
      </c>
      <c r="P14" s="1" t="s">
        <v>15</v>
      </c>
      <c r="Q14" s="1">
        <v>-100</v>
      </c>
      <c r="R14" s="1">
        <v>-100</v>
      </c>
      <c r="S14" s="1">
        <v>0</v>
      </c>
      <c r="T14" s="1">
        <v>0</v>
      </c>
      <c r="U14" s="1">
        <v>0</v>
      </c>
      <c r="V14" s="1">
        <v>0.9</v>
      </c>
      <c r="W14" s="1">
        <v>97</v>
      </c>
      <c r="X14" s="1">
        <v>0.5</v>
      </c>
      <c r="Y14" s="1">
        <v>1</v>
      </c>
      <c r="Z14" s="4" t="s">
        <v>15</v>
      </c>
      <c r="AA14" s="1">
        <v>-100</v>
      </c>
      <c r="AB14" s="1">
        <v>-100</v>
      </c>
      <c r="AC14" s="1">
        <v>0</v>
      </c>
      <c r="AD14" s="1">
        <v>0</v>
      </c>
      <c r="AE14" s="1">
        <v>0</v>
      </c>
      <c r="AF14" s="1">
        <v>0.9</v>
      </c>
    </row>
    <row r="15" spans="1:32" s="2" customFormat="1" ht="11.25" x14ac:dyDescent="0.2">
      <c r="A15" s="2" t="s">
        <v>17</v>
      </c>
      <c r="C15" s="2">
        <f t="shared" ref="C15:AF15" si="0">MIN(C19:C154)</f>
        <v>24.5</v>
      </c>
      <c r="D15" s="2">
        <f t="shared" si="0"/>
        <v>1</v>
      </c>
      <c r="E15" s="2">
        <f t="shared" si="0"/>
        <v>1.9175</v>
      </c>
      <c r="F15" s="2">
        <f t="shared" si="0"/>
        <v>0.77429999999999999</v>
      </c>
      <c r="G15" s="2">
        <f t="shared" si="0"/>
        <v>0.14910000000000001</v>
      </c>
      <c r="H15" s="2">
        <f t="shared" si="0"/>
        <v>-0.49099999999999999</v>
      </c>
      <c r="I15" s="2">
        <f t="shared" si="0"/>
        <v>5.0000000000000001E-4</v>
      </c>
      <c r="J15" s="2">
        <f t="shared" si="0"/>
        <v>2.9983</v>
      </c>
      <c r="K15" s="2">
        <f t="shared" si="0"/>
        <v>3.6635</v>
      </c>
      <c r="L15" s="2">
        <f t="shared" si="0"/>
        <v>1.6545000000000001</v>
      </c>
      <c r="M15" s="2">
        <f t="shared" si="0"/>
        <v>-55.5</v>
      </c>
      <c r="N15" s="2">
        <f t="shared" si="0"/>
        <v>1</v>
      </c>
      <c r="O15" s="2">
        <f t="shared" si="0"/>
        <v>2.3148</v>
      </c>
      <c r="P15" s="2">
        <f t="shared" si="0"/>
        <v>0.89249999999999996</v>
      </c>
      <c r="Q15" s="2">
        <f t="shared" si="0"/>
        <v>0.1406</v>
      </c>
      <c r="R15" s="2">
        <f t="shared" si="0"/>
        <v>-0.4955</v>
      </c>
      <c r="S15" s="2">
        <f t="shared" si="0"/>
        <v>1.5299999999999999E-2</v>
      </c>
      <c r="T15" s="2">
        <f t="shared" si="0"/>
        <v>1.7110000000000001</v>
      </c>
      <c r="U15" s="2">
        <f t="shared" si="0"/>
        <v>2.5746000000000002</v>
      </c>
      <c r="V15" s="2">
        <f t="shared" si="0"/>
        <v>1.4978</v>
      </c>
      <c r="W15" s="2">
        <f t="shared" si="0"/>
        <v>99.9</v>
      </c>
      <c r="X15" s="2">
        <f t="shared" si="0"/>
        <v>1</v>
      </c>
      <c r="Y15" s="2">
        <f t="shared" si="0"/>
        <v>1.4106000000000001</v>
      </c>
      <c r="AA15" s="2">
        <f t="shared" si="0"/>
        <v>0.17499999999999999</v>
      </c>
      <c r="AB15" s="2">
        <f t="shared" si="0"/>
        <v>-0.52159999999999995</v>
      </c>
      <c r="AC15" s="2">
        <f t="shared" si="0"/>
        <v>0.14810000000000001</v>
      </c>
      <c r="AD15" s="2">
        <f t="shared" si="0"/>
        <v>3.649</v>
      </c>
      <c r="AE15" s="2">
        <f t="shared" si="0"/>
        <v>4.8418000000000001</v>
      </c>
      <c r="AF15" s="2">
        <f t="shared" si="0"/>
        <v>1.7905</v>
      </c>
    </row>
    <row r="16" spans="1:32" s="2" customFormat="1" ht="11.25" x14ac:dyDescent="0.2">
      <c r="A16" s="2" t="s">
        <v>18</v>
      </c>
      <c r="C16" s="2">
        <f t="shared" ref="C16:AF16" si="1">MAX(C19:C154)</f>
        <v>25.5</v>
      </c>
      <c r="D16" s="2">
        <f t="shared" si="1"/>
        <v>1</v>
      </c>
      <c r="E16" s="2">
        <f t="shared" si="1"/>
        <v>2.3054000000000001</v>
      </c>
      <c r="F16" s="2">
        <f t="shared" si="1"/>
        <v>0.79110000000000003</v>
      </c>
      <c r="G16" s="2">
        <f t="shared" si="1"/>
        <v>0.4163</v>
      </c>
      <c r="H16" s="2">
        <f t="shared" si="1"/>
        <v>-0.22140000000000001</v>
      </c>
      <c r="I16" s="2">
        <f t="shared" si="1"/>
        <v>1.6000000000000001E-3</v>
      </c>
      <c r="J16" s="2">
        <f t="shared" si="1"/>
        <v>3.7879</v>
      </c>
      <c r="K16" s="2">
        <f t="shared" si="1"/>
        <v>4.4751000000000003</v>
      </c>
      <c r="L16" s="2">
        <f t="shared" si="1"/>
        <v>2.3351999999999999</v>
      </c>
      <c r="M16" s="2">
        <f t="shared" si="1"/>
        <v>-54.9</v>
      </c>
      <c r="N16" s="2">
        <f t="shared" si="1"/>
        <v>1</v>
      </c>
      <c r="O16" s="2">
        <f t="shared" si="1"/>
        <v>2.7970999999999999</v>
      </c>
      <c r="P16" s="2">
        <f t="shared" si="1"/>
        <v>0.90639999999999998</v>
      </c>
      <c r="Q16" s="2">
        <f t="shared" si="1"/>
        <v>0.43149999999999999</v>
      </c>
      <c r="R16" s="2">
        <f t="shared" si="1"/>
        <v>-0.1928</v>
      </c>
      <c r="S16" s="2">
        <f t="shared" si="1"/>
        <v>1.77E-2</v>
      </c>
      <c r="T16" s="2">
        <f t="shared" si="1"/>
        <v>2.0312999999999999</v>
      </c>
      <c r="U16" s="2">
        <f t="shared" si="1"/>
        <v>3.3065000000000002</v>
      </c>
      <c r="V16" s="2">
        <f t="shared" si="1"/>
        <v>2.1581999999999999</v>
      </c>
      <c r="W16" s="2">
        <f t="shared" si="1"/>
        <v>101.5</v>
      </c>
      <c r="X16" s="2">
        <f t="shared" si="1"/>
        <v>1</v>
      </c>
      <c r="Y16" s="2">
        <f t="shared" si="1"/>
        <v>1.7335</v>
      </c>
      <c r="AA16" s="2">
        <f t="shared" si="1"/>
        <v>0.46410000000000001</v>
      </c>
      <c r="AB16" s="2">
        <f t="shared" si="1"/>
        <v>-0.2379</v>
      </c>
      <c r="AC16" s="2">
        <f t="shared" si="1"/>
        <v>0.2457</v>
      </c>
      <c r="AD16" s="2">
        <f t="shared" si="1"/>
        <v>4.3297999999999996</v>
      </c>
      <c r="AE16" s="2">
        <f t="shared" si="1"/>
        <v>5.6992000000000003</v>
      </c>
      <c r="AF16" s="2">
        <f t="shared" si="1"/>
        <v>2.5255999999999998</v>
      </c>
    </row>
    <row r="17" spans="1:32" s="2" customFormat="1" ht="11.25" x14ac:dyDescent="0.2">
      <c r="A17" s="2" t="s">
        <v>19</v>
      </c>
      <c r="C17" s="2">
        <f t="shared" ref="C17:AF17" si="2">AVERAGE(C19:C154)</f>
        <v>25.041176470588219</v>
      </c>
      <c r="D17" s="2">
        <f t="shared" si="2"/>
        <v>1</v>
      </c>
      <c r="E17" s="2">
        <f t="shared" si="2"/>
        <v>2.0260691176470598</v>
      </c>
      <c r="F17" s="2">
        <f t="shared" si="2"/>
        <v>0.78042426470588244</v>
      </c>
      <c r="G17" s="2">
        <f t="shared" si="2"/>
        <v>0.29208235294117646</v>
      </c>
      <c r="H17" s="2">
        <f t="shared" si="2"/>
        <v>-0.36773161764705881</v>
      </c>
      <c r="I17" s="2">
        <f t="shared" si="2"/>
        <v>9.0147058823529438E-4</v>
      </c>
      <c r="J17" s="2">
        <f t="shared" si="2"/>
        <v>3.5660117647058835</v>
      </c>
      <c r="K17" s="2">
        <f t="shared" si="2"/>
        <v>3.8500691176470601</v>
      </c>
      <c r="L17" s="2">
        <f t="shared" si="2"/>
        <v>2.0407102941176469</v>
      </c>
      <c r="M17" s="2">
        <f t="shared" si="2"/>
        <v>-55.097794117647119</v>
      </c>
      <c r="N17" s="2">
        <f t="shared" si="2"/>
        <v>1</v>
      </c>
      <c r="O17" s="2">
        <f t="shared" si="2"/>
        <v>2.4569169117647052</v>
      </c>
      <c r="P17" s="2">
        <f t="shared" si="2"/>
        <v>0.89898088235294105</v>
      </c>
      <c r="Q17" s="2">
        <f t="shared" si="2"/>
        <v>0.28520147058823525</v>
      </c>
      <c r="R17" s="2">
        <f t="shared" si="2"/>
        <v>-0.33209926470588214</v>
      </c>
      <c r="S17" s="2">
        <f t="shared" si="2"/>
        <v>1.658970588235293E-2</v>
      </c>
      <c r="T17" s="2">
        <f t="shared" si="2"/>
        <v>1.8400801470588224</v>
      </c>
      <c r="U17" s="2">
        <f t="shared" si="2"/>
        <v>2.7683044117647055</v>
      </c>
      <c r="V17" s="2">
        <f t="shared" si="2"/>
        <v>1.8676522058823533</v>
      </c>
      <c r="W17" s="2">
        <f t="shared" si="2"/>
        <v>100.66029411764708</v>
      </c>
      <c r="X17" s="2">
        <f t="shared" si="2"/>
        <v>1</v>
      </c>
      <c r="Y17" s="2">
        <f t="shared" si="2"/>
        <v>1.518941176470588</v>
      </c>
      <c r="AA17" s="2">
        <f t="shared" si="2"/>
        <v>0.31205661764705889</v>
      </c>
      <c r="AB17" s="2">
        <f t="shared" si="2"/>
        <v>-0.38163529411764724</v>
      </c>
      <c r="AC17" s="2">
        <f t="shared" si="2"/>
        <v>0.19838161764705886</v>
      </c>
      <c r="AD17" s="2">
        <f t="shared" si="2"/>
        <v>3.8921794117647046</v>
      </c>
      <c r="AE17" s="2">
        <f t="shared" si="2"/>
        <v>5.0348764705882338</v>
      </c>
      <c r="AF17" s="2">
        <f t="shared" si="2"/>
        <v>2.2191279411764699</v>
      </c>
    </row>
    <row r="18" spans="1:32" s="2" customFormat="1" ht="11.25" x14ac:dyDescent="0.2">
      <c r="A18" s="2" t="s">
        <v>20</v>
      </c>
      <c r="C18" s="2">
        <f t="shared" ref="C18:AF18" si="3">STDEV(C19:C154)</f>
        <v>0.1296551484374607</v>
      </c>
      <c r="D18" s="2">
        <f t="shared" si="3"/>
        <v>0</v>
      </c>
      <c r="E18" s="2">
        <f t="shared" si="3"/>
        <v>7.788967555288831E-2</v>
      </c>
      <c r="F18" s="2">
        <f t="shared" si="3"/>
        <v>3.7719529537054573E-3</v>
      </c>
      <c r="G18" s="2">
        <f t="shared" si="3"/>
        <v>8.5445512100556509E-2</v>
      </c>
      <c r="H18" s="2">
        <f t="shared" si="3"/>
        <v>8.4007130828022011E-2</v>
      </c>
      <c r="I18" s="2">
        <f t="shared" si="3"/>
        <v>2.0869445825492854E-4</v>
      </c>
      <c r="J18" s="2">
        <f t="shared" si="3"/>
        <v>9.733289958717932E-2</v>
      </c>
      <c r="K18" s="2">
        <f t="shared" si="3"/>
        <v>0.13295319951561116</v>
      </c>
      <c r="L18" s="2">
        <f t="shared" si="3"/>
        <v>0.17326757995544506</v>
      </c>
      <c r="M18" s="2">
        <f t="shared" si="3"/>
        <v>9.5426459382746062E-2</v>
      </c>
      <c r="N18" s="2">
        <f t="shared" si="3"/>
        <v>0</v>
      </c>
      <c r="O18" s="2">
        <f t="shared" si="3"/>
        <v>9.4772874346374228E-2</v>
      </c>
      <c r="P18" s="2">
        <f t="shared" si="3"/>
        <v>2.8373047906323943E-3</v>
      </c>
      <c r="Q18" s="2">
        <f t="shared" si="3"/>
        <v>8.7161750858023912E-2</v>
      </c>
      <c r="R18" s="2">
        <f t="shared" si="3"/>
        <v>8.6314939693370549E-2</v>
      </c>
      <c r="S18" s="2">
        <f t="shared" si="3"/>
        <v>4.8293537820364482E-4</v>
      </c>
      <c r="T18" s="2">
        <f t="shared" si="3"/>
        <v>5.4897023895388045E-2</v>
      </c>
      <c r="U18" s="2">
        <f t="shared" si="3"/>
        <v>0.13300816119078976</v>
      </c>
      <c r="V18" s="2">
        <f t="shared" si="3"/>
        <v>0.16731822506691393</v>
      </c>
      <c r="W18" s="2">
        <f t="shared" si="3"/>
        <v>0.27060410107885802</v>
      </c>
      <c r="X18" s="2">
        <f t="shared" si="3"/>
        <v>0</v>
      </c>
      <c r="Y18" s="2">
        <f t="shared" si="3"/>
        <v>6.1831817855748074E-2</v>
      </c>
      <c r="AA18" s="2">
        <f t="shared" si="3"/>
        <v>8.8283873534483456E-2</v>
      </c>
      <c r="AB18" s="2">
        <f t="shared" si="3"/>
        <v>8.5196919201309035E-2</v>
      </c>
      <c r="AC18" s="2">
        <f t="shared" si="3"/>
        <v>2.2121305976469302E-2</v>
      </c>
      <c r="AD18" s="2">
        <f t="shared" si="3"/>
        <v>9.2983402834131493E-2</v>
      </c>
      <c r="AE18" s="2">
        <f t="shared" si="3"/>
        <v>0.12608417719350079</v>
      </c>
      <c r="AF18" s="2">
        <f t="shared" si="3"/>
        <v>0.17903848983706622</v>
      </c>
    </row>
    <row r="19" spans="1:32" ht="11.25" x14ac:dyDescent="0.2">
      <c r="A19" s="1">
        <v>1</v>
      </c>
      <c r="B19" s="1">
        <v>1</v>
      </c>
      <c r="C19" s="1">
        <v>24.9</v>
      </c>
      <c r="D19" s="1">
        <v>1</v>
      </c>
      <c r="E19" s="1">
        <v>1.9365000000000001</v>
      </c>
      <c r="F19" s="1">
        <v>0.77749999999999997</v>
      </c>
      <c r="G19" s="1">
        <v>0.38200000000000001</v>
      </c>
      <c r="H19" s="1">
        <v>-0.44379999999999997</v>
      </c>
      <c r="I19" s="1">
        <v>1.1000000000000001E-3</v>
      </c>
      <c r="J19" s="1">
        <v>3.6183999999999998</v>
      </c>
      <c r="K19" s="1">
        <v>3.7593000000000001</v>
      </c>
      <c r="L19" s="1">
        <v>2.2031999999999998</v>
      </c>
      <c r="M19" s="1">
        <v>-55.3</v>
      </c>
      <c r="N19" s="1">
        <v>1</v>
      </c>
      <c r="O19" s="1">
        <v>2.3690000000000002</v>
      </c>
      <c r="P19" s="1">
        <v>0.89600000000000002</v>
      </c>
      <c r="Q19" s="1">
        <v>0.35120000000000001</v>
      </c>
      <c r="R19" s="1">
        <v>-0.44230000000000003</v>
      </c>
      <c r="S19" s="1">
        <v>1.6799999999999999E-2</v>
      </c>
      <c r="T19" s="1">
        <v>1.8718999999999999</v>
      </c>
      <c r="U19" s="1">
        <v>2.6867000000000001</v>
      </c>
      <c r="V19" s="1">
        <v>2.0286</v>
      </c>
      <c r="W19" s="1">
        <v>100.5</v>
      </c>
      <c r="X19" s="1">
        <v>1</v>
      </c>
      <c r="Y19" s="1">
        <v>1.4279999999999999</v>
      </c>
      <c r="Z19" s="1"/>
      <c r="AA19" s="1">
        <v>0.26469999999999999</v>
      </c>
      <c r="AB19" s="1">
        <v>-0.29499999999999998</v>
      </c>
      <c r="AC19" s="1">
        <v>0.2457</v>
      </c>
      <c r="AD19" s="1">
        <v>3.9487000000000001</v>
      </c>
      <c r="AE19" s="1">
        <v>4.9302999999999999</v>
      </c>
      <c r="AF19" s="1">
        <v>2.3860000000000001</v>
      </c>
    </row>
    <row r="20" spans="1:32" ht="11.25" x14ac:dyDescent="0.2">
      <c r="A20" s="1">
        <v>2</v>
      </c>
      <c r="B20" s="1">
        <v>1</v>
      </c>
      <c r="C20" s="1">
        <v>25.2</v>
      </c>
      <c r="D20" s="1">
        <v>1</v>
      </c>
      <c r="E20" s="1">
        <v>2.0914000000000001</v>
      </c>
      <c r="F20" s="1">
        <v>0.78390000000000004</v>
      </c>
      <c r="G20" s="1">
        <v>0.25469999999999998</v>
      </c>
      <c r="H20" s="1">
        <v>-0.4143</v>
      </c>
      <c r="I20" s="1">
        <v>1.6000000000000001E-3</v>
      </c>
      <c r="J20" s="1">
        <v>3.5750999999999999</v>
      </c>
      <c r="K20" s="1">
        <v>3.8925999999999998</v>
      </c>
      <c r="L20" s="1">
        <v>1.9881</v>
      </c>
      <c r="M20" s="1">
        <v>-54.9</v>
      </c>
      <c r="N20" s="1">
        <v>1</v>
      </c>
      <c r="O20" s="1">
        <v>2.5413999999999999</v>
      </c>
      <c r="P20" s="1">
        <v>0.90090000000000003</v>
      </c>
      <c r="Q20" s="1">
        <v>0.41520000000000001</v>
      </c>
      <c r="R20" s="1">
        <v>-0.4385</v>
      </c>
      <c r="S20" s="1">
        <v>1.7100000000000001E-2</v>
      </c>
      <c r="T20" s="1">
        <v>1.9556</v>
      </c>
      <c r="U20" s="1">
        <v>2.8003999999999998</v>
      </c>
      <c r="V20" s="1">
        <v>1.8163</v>
      </c>
      <c r="W20" s="1">
        <v>100.7</v>
      </c>
      <c r="X20" s="1">
        <v>1</v>
      </c>
      <c r="Y20" s="1">
        <v>1.5605</v>
      </c>
      <c r="Z20" s="1"/>
      <c r="AA20" s="1">
        <v>0.44569999999999999</v>
      </c>
      <c r="AB20" s="1">
        <v>-0.50949999999999995</v>
      </c>
      <c r="AC20" s="1">
        <v>0.18759999999999999</v>
      </c>
      <c r="AD20" s="1">
        <v>3.9235000000000002</v>
      </c>
      <c r="AE20" s="1">
        <v>5.0591999999999997</v>
      </c>
      <c r="AF20" s="1">
        <v>2.1537000000000002</v>
      </c>
    </row>
    <row r="21" spans="1:32" ht="11.25" x14ac:dyDescent="0.2">
      <c r="A21" s="1">
        <v>3</v>
      </c>
      <c r="B21" s="1">
        <v>1</v>
      </c>
      <c r="C21" s="1">
        <v>25.1</v>
      </c>
      <c r="D21" s="1">
        <v>1</v>
      </c>
      <c r="E21" s="1">
        <v>1.9954000000000001</v>
      </c>
      <c r="F21" s="1">
        <v>0.77990000000000004</v>
      </c>
      <c r="G21" s="1">
        <v>0.31840000000000002</v>
      </c>
      <c r="H21" s="1">
        <v>-0.48010000000000003</v>
      </c>
      <c r="I21" s="1">
        <v>6.9999999999999999E-4</v>
      </c>
      <c r="J21" s="1">
        <v>3.5121000000000002</v>
      </c>
      <c r="K21" s="1">
        <v>3.6964999999999999</v>
      </c>
      <c r="L21" s="1">
        <v>1.9610000000000001</v>
      </c>
      <c r="M21" s="1">
        <v>-55.1</v>
      </c>
      <c r="N21" s="1">
        <v>1</v>
      </c>
      <c r="O21" s="1">
        <v>2.4177</v>
      </c>
      <c r="P21" s="1">
        <v>0.89849999999999997</v>
      </c>
      <c r="Q21" s="1">
        <v>0.20280000000000001</v>
      </c>
      <c r="R21" s="1">
        <v>-0.25900000000000001</v>
      </c>
      <c r="S21" s="1">
        <v>1.67E-2</v>
      </c>
      <c r="T21" s="1">
        <v>1.8406</v>
      </c>
      <c r="U21" s="1">
        <v>2.6562000000000001</v>
      </c>
      <c r="V21" s="1">
        <v>1.7924</v>
      </c>
      <c r="W21" s="1">
        <v>100.9</v>
      </c>
      <c r="X21" s="1">
        <v>1</v>
      </c>
      <c r="Y21" s="1">
        <v>1.4913000000000001</v>
      </c>
      <c r="Z21" s="1"/>
      <c r="AA21" s="1">
        <v>0.41299999999999998</v>
      </c>
      <c r="AB21" s="1">
        <v>-0.3695</v>
      </c>
      <c r="AC21" s="1">
        <v>0.19470000000000001</v>
      </c>
      <c r="AD21" s="1">
        <v>3.8479000000000001</v>
      </c>
      <c r="AE21" s="1">
        <v>4.8681000000000001</v>
      </c>
      <c r="AF21" s="1">
        <v>2.1347</v>
      </c>
    </row>
    <row r="22" spans="1:32" ht="11.25" x14ac:dyDescent="0.2">
      <c r="A22" s="1">
        <v>4</v>
      </c>
      <c r="B22" s="1">
        <v>1</v>
      </c>
      <c r="C22" s="1">
        <v>25.1</v>
      </c>
      <c r="D22" s="1">
        <v>1</v>
      </c>
      <c r="E22" s="1">
        <v>2.0535999999999999</v>
      </c>
      <c r="F22" s="1">
        <v>0.78259999999999996</v>
      </c>
      <c r="G22" s="1">
        <v>0.32640000000000002</v>
      </c>
      <c r="H22" s="1">
        <v>-0.4738</v>
      </c>
      <c r="I22" s="1">
        <v>8.9999999999999998E-4</v>
      </c>
      <c r="J22" s="1">
        <v>3.5505</v>
      </c>
      <c r="K22" s="1">
        <v>3.8292000000000002</v>
      </c>
      <c r="L22" s="1">
        <v>1.9140999999999999</v>
      </c>
      <c r="M22" s="1">
        <v>-55.2</v>
      </c>
      <c r="N22" s="1">
        <v>1</v>
      </c>
      <c r="O22" s="1">
        <v>2.4801000000000002</v>
      </c>
      <c r="P22" s="1">
        <v>0.89949999999999997</v>
      </c>
      <c r="Q22" s="1">
        <v>0.41339999999999999</v>
      </c>
      <c r="R22" s="1">
        <v>-0.32640000000000002</v>
      </c>
      <c r="S22" s="1">
        <v>1.7000000000000001E-2</v>
      </c>
      <c r="T22" s="1">
        <v>1.8129</v>
      </c>
      <c r="U22" s="1">
        <v>2.7507000000000001</v>
      </c>
      <c r="V22" s="1">
        <v>1.7470000000000001</v>
      </c>
      <c r="W22" s="1">
        <v>100.4</v>
      </c>
      <c r="X22" s="1">
        <v>1</v>
      </c>
      <c r="Y22" s="1">
        <v>1.5452999999999999</v>
      </c>
      <c r="Z22" s="1"/>
      <c r="AA22" s="1">
        <v>0.4017</v>
      </c>
      <c r="AB22" s="1">
        <v>-0.51570000000000005</v>
      </c>
      <c r="AC22" s="1">
        <v>0.19719999999999999</v>
      </c>
      <c r="AD22" s="1">
        <v>3.8319000000000001</v>
      </c>
      <c r="AE22" s="1">
        <v>4.9570999999999996</v>
      </c>
      <c r="AF22" s="1">
        <v>2.0939000000000001</v>
      </c>
    </row>
    <row r="23" spans="1:32" ht="11.25" x14ac:dyDescent="0.2">
      <c r="A23" s="1">
        <v>5</v>
      </c>
      <c r="B23" s="1">
        <v>1</v>
      </c>
      <c r="C23" s="1">
        <v>25.2</v>
      </c>
      <c r="D23" s="1">
        <v>1</v>
      </c>
      <c r="E23" s="1">
        <v>1.9200999999999999</v>
      </c>
      <c r="F23" s="1">
        <v>0.77580000000000005</v>
      </c>
      <c r="G23" s="1">
        <v>0.192</v>
      </c>
      <c r="H23" s="1">
        <v>-0.25669999999999998</v>
      </c>
      <c r="I23" s="1">
        <v>5.9999999999999995E-4</v>
      </c>
      <c r="J23" s="1">
        <v>3.5202</v>
      </c>
      <c r="K23" s="1">
        <v>3.77</v>
      </c>
      <c r="L23" s="1">
        <v>2.2972999999999999</v>
      </c>
      <c r="M23" s="1">
        <v>-55</v>
      </c>
      <c r="N23" s="1">
        <v>1</v>
      </c>
      <c r="O23" s="1">
        <v>2.3357999999999999</v>
      </c>
      <c r="P23" s="1">
        <v>0.89500000000000002</v>
      </c>
      <c r="Q23" s="1">
        <v>0.37030000000000002</v>
      </c>
      <c r="R23" s="1">
        <v>-0.44319999999999998</v>
      </c>
      <c r="S23" s="1">
        <v>1.66E-2</v>
      </c>
      <c r="T23" s="1">
        <v>1.7923</v>
      </c>
      <c r="U23" s="1">
        <v>2.6577999999999999</v>
      </c>
      <c r="V23" s="1">
        <v>2.1208</v>
      </c>
      <c r="W23" s="1">
        <v>100.9</v>
      </c>
      <c r="X23" s="1">
        <v>1</v>
      </c>
      <c r="Y23" s="1">
        <v>1.4235</v>
      </c>
      <c r="Z23" s="1"/>
      <c r="AA23" s="1">
        <v>0.2258</v>
      </c>
      <c r="AB23" s="1">
        <v>-0.28749999999999998</v>
      </c>
      <c r="AC23" s="1">
        <v>0.2051</v>
      </c>
      <c r="AD23" s="1">
        <v>3.9396</v>
      </c>
      <c r="AE23" s="1">
        <v>4.9484000000000004</v>
      </c>
      <c r="AF23" s="1">
        <v>2.4862000000000002</v>
      </c>
    </row>
    <row r="24" spans="1:32" ht="11.25" x14ac:dyDescent="0.2">
      <c r="A24" s="1">
        <v>6</v>
      </c>
      <c r="B24" s="1">
        <v>1</v>
      </c>
      <c r="C24" s="1">
        <v>25.1</v>
      </c>
      <c r="D24" s="1">
        <v>1</v>
      </c>
      <c r="E24" s="1">
        <v>2.0541999999999998</v>
      </c>
      <c r="F24" s="1">
        <v>0.78269999999999995</v>
      </c>
      <c r="G24" s="1">
        <v>0.39739999999999998</v>
      </c>
      <c r="H24" s="1">
        <v>-0.43940000000000001</v>
      </c>
      <c r="I24" s="1">
        <v>1.1999999999999999E-3</v>
      </c>
      <c r="J24" s="1">
        <v>3.5175999999999998</v>
      </c>
      <c r="K24" s="1">
        <v>3.7679</v>
      </c>
      <c r="L24" s="1">
        <v>1.8016000000000001</v>
      </c>
      <c r="M24" s="1">
        <v>-55.1</v>
      </c>
      <c r="N24" s="1">
        <v>1</v>
      </c>
      <c r="O24" s="1">
        <v>2.4876999999999998</v>
      </c>
      <c r="P24" s="1">
        <v>0.90169999999999995</v>
      </c>
      <c r="Q24" s="1">
        <v>0.29389999999999999</v>
      </c>
      <c r="R24" s="1">
        <v>-0.44209999999999999</v>
      </c>
      <c r="S24" s="1">
        <v>1.6400000000000001E-2</v>
      </c>
      <c r="T24" s="1">
        <v>1.7897000000000001</v>
      </c>
      <c r="U24" s="1">
        <v>2.7054999999999998</v>
      </c>
      <c r="V24" s="1">
        <v>1.6385000000000001</v>
      </c>
      <c r="W24" s="1">
        <v>100.4</v>
      </c>
      <c r="X24" s="1">
        <v>1</v>
      </c>
      <c r="Y24" s="1">
        <v>1.5427999999999999</v>
      </c>
      <c r="Z24" s="1"/>
      <c r="AA24" s="1">
        <v>0.30159999999999998</v>
      </c>
      <c r="AB24" s="1">
        <v>-0.25950000000000001</v>
      </c>
      <c r="AC24" s="1">
        <v>0.2135</v>
      </c>
      <c r="AD24" s="1">
        <v>3.7806999999999999</v>
      </c>
      <c r="AE24" s="1">
        <v>4.9706000000000001</v>
      </c>
      <c r="AF24" s="1">
        <v>1.9709000000000001</v>
      </c>
    </row>
    <row r="25" spans="1:32" ht="11.25" x14ac:dyDescent="0.2">
      <c r="A25" s="1">
        <v>7</v>
      </c>
      <c r="B25" s="1">
        <v>1</v>
      </c>
      <c r="C25" s="1">
        <v>25</v>
      </c>
      <c r="D25" s="1">
        <v>1</v>
      </c>
      <c r="E25" s="1">
        <v>1.9305000000000001</v>
      </c>
      <c r="F25" s="1">
        <v>0.77669999999999995</v>
      </c>
      <c r="G25" s="1">
        <v>0.2366</v>
      </c>
      <c r="H25" s="1">
        <v>-0.27110000000000001</v>
      </c>
      <c r="I25" s="1">
        <v>6.9999999999999999E-4</v>
      </c>
      <c r="J25" s="1">
        <v>3.6221999999999999</v>
      </c>
      <c r="K25" s="1">
        <v>3.7749000000000001</v>
      </c>
      <c r="L25" s="1">
        <v>2.2351999999999999</v>
      </c>
      <c r="M25" s="1">
        <v>-55.2</v>
      </c>
      <c r="N25" s="1">
        <v>1</v>
      </c>
      <c r="O25" s="1">
        <v>2.3538999999999999</v>
      </c>
      <c r="P25" s="1">
        <v>0.89549999999999996</v>
      </c>
      <c r="Q25" s="1">
        <v>0.29199999999999998</v>
      </c>
      <c r="R25" s="1">
        <v>-0.41880000000000001</v>
      </c>
      <c r="S25" s="1">
        <v>1.61E-2</v>
      </c>
      <c r="T25" s="1">
        <v>1.8752</v>
      </c>
      <c r="U25" s="1">
        <v>2.6903000000000001</v>
      </c>
      <c r="V25" s="1">
        <v>2.0589</v>
      </c>
      <c r="W25" s="1">
        <v>100.5</v>
      </c>
      <c r="X25" s="1">
        <v>1</v>
      </c>
      <c r="Y25" s="1">
        <v>1.4373</v>
      </c>
      <c r="Z25" s="1"/>
      <c r="AA25" s="1">
        <v>0.249</v>
      </c>
      <c r="AB25" s="1">
        <v>-0.27589999999999998</v>
      </c>
      <c r="AC25" s="1">
        <v>0.20130000000000001</v>
      </c>
      <c r="AD25" s="1">
        <v>3.9257</v>
      </c>
      <c r="AE25" s="1">
        <v>4.9504000000000001</v>
      </c>
      <c r="AF25" s="1">
        <v>2.4173</v>
      </c>
    </row>
    <row r="26" spans="1:32" ht="11.25" x14ac:dyDescent="0.2">
      <c r="A26" s="1">
        <v>8</v>
      </c>
      <c r="B26" s="1">
        <v>1</v>
      </c>
      <c r="C26" s="1">
        <v>25</v>
      </c>
      <c r="D26" s="1">
        <v>1</v>
      </c>
      <c r="E26" s="1">
        <v>1.9829000000000001</v>
      </c>
      <c r="F26" s="1">
        <v>0.78269999999999995</v>
      </c>
      <c r="G26" s="1">
        <v>0.25740000000000002</v>
      </c>
      <c r="H26" s="1">
        <v>-0.22850000000000001</v>
      </c>
      <c r="I26" s="1">
        <v>1E-3</v>
      </c>
      <c r="J26" s="1">
        <v>3.5815000000000001</v>
      </c>
      <c r="K26" s="1">
        <v>3.9950000000000001</v>
      </c>
      <c r="L26" s="1">
        <v>2.0283000000000002</v>
      </c>
      <c r="M26" s="1">
        <v>-55.2</v>
      </c>
      <c r="N26" s="1">
        <v>1</v>
      </c>
      <c r="O26" s="1">
        <v>2.3946000000000001</v>
      </c>
      <c r="P26" s="1">
        <v>0.90069999999999995</v>
      </c>
      <c r="Q26" s="1">
        <v>0.20799999999999999</v>
      </c>
      <c r="R26" s="1">
        <v>-0.223</v>
      </c>
      <c r="S26" s="1">
        <v>1.6299999999999999E-2</v>
      </c>
      <c r="T26" s="1">
        <v>1.7907999999999999</v>
      </c>
      <c r="U26" s="1">
        <v>2.9735999999999998</v>
      </c>
      <c r="V26" s="1">
        <v>1.8571</v>
      </c>
      <c r="W26" s="1">
        <v>100.8</v>
      </c>
      <c r="X26" s="1">
        <v>1</v>
      </c>
      <c r="Y26" s="1">
        <v>1.5019</v>
      </c>
      <c r="Z26" s="1"/>
      <c r="AA26" s="1">
        <v>0.2601</v>
      </c>
      <c r="AB26" s="1">
        <v>-0.4153</v>
      </c>
      <c r="AC26" s="1">
        <v>0.18240000000000001</v>
      </c>
      <c r="AD26" s="1">
        <v>3.9072</v>
      </c>
      <c r="AE26" s="1">
        <v>5.1932</v>
      </c>
      <c r="AF26" s="1">
        <v>2.2048000000000001</v>
      </c>
    </row>
    <row r="27" spans="1:32" ht="11.25" x14ac:dyDescent="0.2">
      <c r="A27" s="1">
        <v>9</v>
      </c>
      <c r="B27" s="1">
        <v>1</v>
      </c>
      <c r="C27" s="1">
        <v>24.9</v>
      </c>
      <c r="D27" s="1">
        <v>1</v>
      </c>
      <c r="E27" s="1">
        <v>1.9496</v>
      </c>
      <c r="F27" s="1">
        <v>0.77459999999999996</v>
      </c>
      <c r="G27" s="1">
        <v>0.27050000000000002</v>
      </c>
      <c r="H27" s="1">
        <v>-0.2989</v>
      </c>
      <c r="I27" s="1">
        <v>5.0000000000000001E-4</v>
      </c>
      <c r="J27" s="1">
        <v>3.5602</v>
      </c>
      <c r="K27" s="1">
        <v>3.7446999999999999</v>
      </c>
      <c r="L27" s="1">
        <v>2.2949999999999999</v>
      </c>
      <c r="M27" s="1">
        <v>-55</v>
      </c>
      <c r="N27" s="1">
        <v>1</v>
      </c>
      <c r="O27" s="1">
        <v>2.3603999999999998</v>
      </c>
      <c r="P27" s="1">
        <v>0.89539999999999997</v>
      </c>
      <c r="Q27" s="1">
        <v>0.3866</v>
      </c>
      <c r="R27" s="1">
        <v>-0.36670000000000003</v>
      </c>
      <c r="S27" s="1">
        <v>1.6500000000000001E-2</v>
      </c>
      <c r="T27" s="1">
        <v>1.8095000000000001</v>
      </c>
      <c r="U27" s="1">
        <v>2.681</v>
      </c>
      <c r="V27" s="1">
        <v>2.1179999999999999</v>
      </c>
      <c r="W27" s="1">
        <v>100.9</v>
      </c>
      <c r="X27" s="1">
        <v>1</v>
      </c>
      <c r="Y27" s="1">
        <v>1.4545999999999999</v>
      </c>
      <c r="Z27" s="1"/>
      <c r="AA27" s="1">
        <v>0.34439999999999998</v>
      </c>
      <c r="AB27" s="1">
        <v>-0.49130000000000001</v>
      </c>
      <c r="AC27" s="1">
        <v>0.2079</v>
      </c>
      <c r="AD27" s="1">
        <v>3.9973999999999998</v>
      </c>
      <c r="AE27" s="1">
        <v>5.0389999999999997</v>
      </c>
      <c r="AF27" s="1">
        <v>2.4807000000000001</v>
      </c>
    </row>
    <row r="28" spans="1:32" ht="11.25" x14ac:dyDescent="0.2">
      <c r="A28" s="1">
        <v>10</v>
      </c>
      <c r="B28" s="1">
        <v>1</v>
      </c>
      <c r="C28" s="1">
        <v>25</v>
      </c>
      <c r="D28" s="1">
        <v>1</v>
      </c>
      <c r="E28" s="1">
        <v>1.99</v>
      </c>
      <c r="F28" s="1">
        <v>0.78129999999999999</v>
      </c>
      <c r="G28" s="1">
        <v>0.33160000000000001</v>
      </c>
      <c r="H28" s="1">
        <v>-0.3135</v>
      </c>
      <c r="I28" s="1">
        <v>1E-3</v>
      </c>
      <c r="J28" s="1">
        <v>3.5670000000000002</v>
      </c>
      <c r="K28" s="1">
        <v>3.879</v>
      </c>
      <c r="L28" s="1">
        <v>2.0813000000000001</v>
      </c>
      <c r="M28" s="1">
        <v>-54.9</v>
      </c>
      <c r="N28" s="1">
        <v>1</v>
      </c>
      <c r="O28" s="1">
        <v>2.3940000000000001</v>
      </c>
      <c r="P28" s="1">
        <v>0.89959999999999996</v>
      </c>
      <c r="Q28" s="1">
        <v>0.26829999999999998</v>
      </c>
      <c r="R28" s="1">
        <v>-0.24210000000000001</v>
      </c>
      <c r="S28" s="1">
        <v>1.67E-2</v>
      </c>
      <c r="T28" s="1">
        <v>1.8385</v>
      </c>
      <c r="U28" s="1">
        <v>2.7706</v>
      </c>
      <c r="V28" s="1">
        <v>1.9064000000000001</v>
      </c>
      <c r="W28" s="1">
        <v>100.9</v>
      </c>
      <c r="X28" s="1">
        <v>1</v>
      </c>
      <c r="Y28" s="1">
        <v>1.5061</v>
      </c>
      <c r="Z28" s="1"/>
      <c r="AA28" s="1">
        <v>0.29749999999999999</v>
      </c>
      <c r="AB28" s="1">
        <v>-0.29360000000000003</v>
      </c>
      <c r="AC28" s="1">
        <v>0.20280000000000001</v>
      </c>
      <c r="AD28" s="1">
        <v>3.8763999999999998</v>
      </c>
      <c r="AE28" s="1">
        <v>5.1321000000000003</v>
      </c>
      <c r="AF28" s="1">
        <v>2.2612999999999999</v>
      </c>
    </row>
    <row r="29" spans="1:32" ht="11.25" x14ac:dyDescent="0.2">
      <c r="A29" s="1">
        <v>11</v>
      </c>
      <c r="B29" s="1">
        <v>1</v>
      </c>
      <c r="C29" s="1">
        <v>24.9</v>
      </c>
      <c r="D29" s="1">
        <v>1</v>
      </c>
      <c r="E29" s="1">
        <v>1.9654</v>
      </c>
      <c r="F29" s="1">
        <v>0.77890000000000004</v>
      </c>
      <c r="G29" s="1">
        <v>0.36599999999999999</v>
      </c>
      <c r="H29" s="1">
        <v>-0.37609999999999999</v>
      </c>
      <c r="I29" s="1">
        <v>5.0000000000000001E-4</v>
      </c>
      <c r="J29" s="1">
        <v>3.4597000000000002</v>
      </c>
      <c r="K29" s="1">
        <v>3.7507000000000001</v>
      </c>
      <c r="L29" s="1">
        <v>2.1309</v>
      </c>
      <c r="M29" s="1">
        <v>-55.1</v>
      </c>
      <c r="N29" s="1">
        <v>1</v>
      </c>
      <c r="O29" s="1">
        <v>2.3742000000000001</v>
      </c>
      <c r="P29" s="1">
        <v>0.89780000000000004</v>
      </c>
      <c r="Q29" s="1">
        <v>0.1774</v>
      </c>
      <c r="R29" s="1">
        <v>-0.28149999999999997</v>
      </c>
      <c r="S29" s="1">
        <v>1.7100000000000001E-2</v>
      </c>
      <c r="T29" s="1">
        <v>1.7642</v>
      </c>
      <c r="U29" s="1">
        <v>2.6640000000000001</v>
      </c>
      <c r="V29" s="1">
        <v>1.9562999999999999</v>
      </c>
      <c r="W29" s="1">
        <v>100.6</v>
      </c>
      <c r="X29" s="1">
        <v>1</v>
      </c>
      <c r="Y29" s="1">
        <v>1.4745999999999999</v>
      </c>
      <c r="Z29" s="1"/>
      <c r="AA29" s="1">
        <v>0.42759999999999998</v>
      </c>
      <c r="AB29" s="1">
        <v>-0.41220000000000001</v>
      </c>
      <c r="AC29" s="1">
        <v>0.2142</v>
      </c>
      <c r="AD29" s="1">
        <v>3.8477999999999999</v>
      </c>
      <c r="AE29" s="1">
        <v>4.9217000000000004</v>
      </c>
      <c r="AF29" s="1">
        <v>2.3123999999999998</v>
      </c>
    </row>
    <row r="30" spans="1:32" ht="11.25" x14ac:dyDescent="0.2">
      <c r="A30" s="1">
        <v>12</v>
      </c>
      <c r="B30" s="1">
        <v>1</v>
      </c>
      <c r="C30" s="1">
        <v>25.2</v>
      </c>
      <c r="D30" s="1">
        <v>1</v>
      </c>
      <c r="E30" s="1">
        <v>2.1922000000000001</v>
      </c>
      <c r="F30" s="1">
        <v>0.78669999999999995</v>
      </c>
      <c r="G30" s="1">
        <v>0.21060000000000001</v>
      </c>
      <c r="H30" s="1">
        <v>-0.25409999999999999</v>
      </c>
      <c r="I30" s="1">
        <v>8.0000000000000004E-4</v>
      </c>
      <c r="J30" s="1">
        <v>3.4931999999999999</v>
      </c>
      <c r="K30" s="1">
        <v>3.9319000000000002</v>
      </c>
      <c r="L30" s="1">
        <v>1.7236</v>
      </c>
      <c r="M30" s="1">
        <v>-55.1</v>
      </c>
      <c r="N30" s="1">
        <v>1</v>
      </c>
      <c r="O30" s="1">
        <v>2.6457999999999999</v>
      </c>
      <c r="P30" s="1">
        <v>0.90329999999999999</v>
      </c>
      <c r="Q30" s="1">
        <v>0.43149999999999999</v>
      </c>
      <c r="R30" s="1">
        <v>-0.38979999999999998</v>
      </c>
      <c r="S30" s="1">
        <v>1.6899999999999998E-2</v>
      </c>
      <c r="T30" s="1">
        <v>1.7901</v>
      </c>
      <c r="U30" s="1">
        <v>2.911</v>
      </c>
      <c r="V30" s="1">
        <v>1.5658000000000001</v>
      </c>
      <c r="W30" s="1">
        <v>100.4</v>
      </c>
      <c r="X30" s="1">
        <v>1</v>
      </c>
      <c r="Y30" s="1">
        <v>1.6512</v>
      </c>
      <c r="Z30" s="1"/>
      <c r="AA30" s="1">
        <v>0.35670000000000002</v>
      </c>
      <c r="AB30" s="1">
        <v>-0.32450000000000001</v>
      </c>
      <c r="AC30" s="1">
        <v>0.2079</v>
      </c>
      <c r="AD30" s="1">
        <v>3.8538000000000001</v>
      </c>
      <c r="AE30" s="1">
        <v>5.0804</v>
      </c>
      <c r="AF30" s="1">
        <v>1.8815999999999999</v>
      </c>
    </row>
    <row r="31" spans="1:32" ht="11.25" x14ac:dyDescent="0.2">
      <c r="A31" s="1">
        <v>13</v>
      </c>
      <c r="B31" s="1">
        <v>1</v>
      </c>
      <c r="C31" s="1">
        <v>25</v>
      </c>
      <c r="D31" s="1">
        <v>1</v>
      </c>
      <c r="E31" s="1">
        <v>1.986</v>
      </c>
      <c r="F31" s="1">
        <v>0.78210000000000002</v>
      </c>
      <c r="G31" s="1">
        <v>0.15620000000000001</v>
      </c>
      <c r="H31" s="1">
        <v>-0.25280000000000002</v>
      </c>
      <c r="I31" s="1">
        <v>1.1000000000000001E-3</v>
      </c>
      <c r="J31" s="1">
        <v>3.4881000000000002</v>
      </c>
      <c r="K31" s="1">
        <v>3.7696999999999998</v>
      </c>
      <c r="L31" s="1">
        <v>1.8952</v>
      </c>
      <c r="M31" s="1">
        <v>-55.1</v>
      </c>
      <c r="N31" s="1">
        <v>1</v>
      </c>
      <c r="O31" s="1">
        <v>2.4005000000000001</v>
      </c>
      <c r="P31" s="1">
        <v>0.90100000000000002</v>
      </c>
      <c r="Q31" s="1">
        <v>0.29670000000000002</v>
      </c>
      <c r="R31" s="1">
        <v>-0.42870000000000003</v>
      </c>
      <c r="S31" s="1">
        <v>1.6400000000000001E-2</v>
      </c>
      <c r="T31" s="1">
        <v>1.8301000000000001</v>
      </c>
      <c r="U31" s="1">
        <v>2.7206999999999999</v>
      </c>
      <c r="V31" s="1">
        <v>1.722</v>
      </c>
      <c r="W31" s="1">
        <v>100.4</v>
      </c>
      <c r="X31" s="1">
        <v>1</v>
      </c>
      <c r="Y31" s="1">
        <v>1.4961</v>
      </c>
      <c r="Z31" s="1"/>
      <c r="AA31" s="1">
        <v>0.43190000000000001</v>
      </c>
      <c r="AB31" s="1">
        <v>-0.43070000000000003</v>
      </c>
      <c r="AC31" s="1">
        <v>0.20680000000000001</v>
      </c>
      <c r="AD31" s="1">
        <v>3.649</v>
      </c>
      <c r="AE31" s="1">
        <v>4.8418000000000001</v>
      </c>
      <c r="AF31" s="1">
        <v>2.0632999999999999</v>
      </c>
    </row>
    <row r="32" spans="1:32" ht="11.25" x14ac:dyDescent="0.2">
      <c r="A32" s="1">
        <v>14</v>
      </c>
      <c r="B32" s="1">
        <v>1</v>
      </c>
      <c r="C32" s="1">
        <v>25.1</v>
      </c>
      <c r="D32" s="1">
        <v>1</v>
      </c>
      <c r="E32" s="1">
        <v>1.948</v>
      </c>
      <c r="F32" s="1">
        <v>0.78269999999999995</v>
      </c>
      <c r="G32" s="1">
        <v>0.2321</v>
      </c>
      <c r="H32" s="1">
        <v>-0.4168</v>
      </c>
      <c r="I32" s="1">
        <v>8.9999999999999998E-4</v>
      </c>
      <c r="J32" s="1">
        <v>3.5118</v>
      </c>
      <c r="K32" s="1">
        <v>3.9222000000000001</v>
      </c>
      <c r="L32" s="1">
        <v>1.9218</v>
      </c>
      <c r="M32" s="1">
        <v>-55.1</v>
      </c>
      <c r="N32" s="1">
        <v>1</v>
      </c>
      <c r="O32" s="1">
        <v>2.3494999999999999</v>
      </c>
      <c r="P32" s="1">
        <v>0.90010000000000001</v>
      </c>
      <c r="Q32" s="1">
        <v>0.36549999999999999</v>
      </c>
      <c r="R32" s="1">
        <v>-0.44869999999999999</v>
      </c>
      <c r="S32" s="1">
        <v>1.61E-2</v>
      </c>
      <c r="T32" s="1">
        <v>1.7462</v>
      </c>
      <c r="U32" s="1">
        <v>2.8492000000000002</v>
      </c>
      <c r="V32" s="1">
        <v>1.7544999999999999</v>
      </c>
      <c r="W32" s="1">
        <v>100.8</v>
      </c>
      <c r="X32" s="1">
        <v>1</v>
      </c>
      <c r="Y32" s="1">
        <v>1.4813000000000001</v>
      </c>
      <c r="Z32" s="1"/>
      <c r="AA32" s="1">
        <v>0.46410000000000001</v>
      </c>
      <c r="AB32" s="1">
        <v>-0.50149999999999995</v>
      </c>
      <c r="AC32" s="1">
        <v>0.18090000000000001</v>
      </c>
      <c r="AD32" s="1">
        <v>3.9169999999999998</v>
      </c>
      <c r="AE32" s="1">
        <v>5.1192000000000002</v>
      </c>
      <c r="AF32" s="1">
        <v>2.0931999999999999</v>
      </c>
    </row>
    <row r="33" spans="1:32" ht="11.25" x14ac:dyDescent="0.2">
      <c r="A33" s="1">
        <v>15</v>
      </c>
      <c r="B33" s="1">
        <v>1</v>
      </c>
      <c r="C33" s="1">
        <v>25.3</v>
      </c>
      <c r="D33" s="1">
        <v>1</v>
      </c>
      <c r="E33" s="1">
        <v>1.9218999999999999</v>
      </c>
      <c r="F33" s="1">
        <v>0.77669999999999995</v>
      </c>
      <c r="G33" s="1">
        <v>0.2586</v>
      </c>
      <c r="H33" s="1">
        <v>-0.47460000000000002</v>
      </c>
      <c r="I33" s="1">
        <v>1E-3</v>
      </c>
      <c r="J33" s="1">
        <v>3.645</v>
      </c>
      <c r="K33" s="1">
        <v>3.8698000000000001</v>
      </c>
      <c r="L33" s="1">
        <v>2.2946</v>
      </c>
      <c r="M33" s="1">
        <v>-54.9</v>
      </c>
      <c r="N33" s="1">
        <v>1</v>
      </c>
      <c r="O33" s="1">
        <v>2.3233000000000001</v>
      </c>
      <c r="P33" s="1">
        <v>0.8952</v>
      </c>
      <c r="Q33" s="1">
        <v>0.30159999999999998</v>
      </c>
      <c r="R33" s="1">
        <v>-0.4955</v>
      </c>
      <c r="S33" s="1">
        <v>1.66E-2</v>
      </c>
      <c r="T33" s="1">
        <v>1.8606</v>
      </c>
      <c r="U33" s="1">
        <v>2.7238000000000002</v>
      </c>
      <c r="V33" s="1">
        <v>2.1185999999999998</v>
      </c>
      <c r="W33" s="1">
        <v>101.1</v>
      </c>
      <c r="X33" s="1">
        <v>1</v>
      </c>
      <c r="Y33" s="1">
        <v>1.4466000000000001</v>
      </c>
      <c r="Z33" s="1"/>
      <c r="AA33" s="1">
        <v>0.33410000000000001</v>
      </c>
      <c r="AB33" s="1">
        <v>-0.5141</v>
      </c>
      <c r="AC33" s="1">
        <v>0.1865</v>
      </c>
      <c r="AD33" s="1">
        <v>3.9782999999999999</v>
      </c>
      <c r="AE33" s="1">
        <v>5.0590000000000002</v>
      </c>
      <c r="AF33" s="1">
        <v>2.4777999999999998</v>
      </c>
    </row>
    <row r="34" spans="1:32" ht="11.25" x14ac:dyDescent="0.2">
      <c r="A34" s="1">
        <v>16</v>
      </c>
      <c r="B34" s="1">
        <v>1</v>
      </c>
      <c r="C34" s="1">
        <v>25</v>
      </c>
      <c r="D34" s="1">
        <v>1</v>
      </c>
      <c r="E34" s="1">
        <v>2.0312000000000001</v>
      </c>
      <c r="F34" s="1">
        <v>0.78010000000000002</v>
      </c>
      <c r="G34" s="1">
        <v>0.40479999999999999</v>
      </c>
      <c r="H34" s="1">
        <v>-0.44679999999999997</v>
      </c>
      <c r="I34" s="1">
        <v>5.9999999999999995E-4</v>
      </c>
      <c r="J34" s="1">
        <v>3.6412</v>
      </c>
      <c r="K34" s="1">
        <v>3.8241999999999998</v>
      </c>
      <c r="L34" s="1">
        <v>2.0674999999999999</v>
      </c>
      <c r="M34" s="1">
        <v>-55.1</v>
      </c>
      <c r="N34" s="1">
        <v>1</v>
      </c>
      <c r="O34" s="1">
        <v>2.4754</v>
      </c>
      <c r="P34" s="1">
        <v>0.89980000000000004</v>
      </c>
      <c r="Q34" s="1">
        <v>0.41010000000000002</v>
      </c>
      <c r="R34" s="1">
        <v>-0.46789999999999998</v>
      </c>
      <c r="S34" s="1">
        <v>1.66E-2</v>
      </c>
      <c r="T34" s="1">
        <v>1.8985000000000001</v>
      </c>
      <c r="U34" s="1">
        <v>2.7000999999999999</v>
      </c>
      <c r="V34" s="1">
        <v>1.8924000000000001</v>
      </c>
      <c r="W34" s="1">
        <v>100.7</v>
      </c>
      <c r="X34" s="1">
        <v>1</v>
      </c>
      <c r="Y34" s="1">
        <v>1.5051000000000001</v>
      </c>
      <c r="Z34" s="1"/>
      <c r="AA34" s="1">
        <v>0.25269999999999998</v>
      </c>
      <c r="AB34" s="1">
        <v>-0.2838</v>
      </c>
      <c r="AC34" s="1">
        <v>0.22189999999999999</v>
      </c>
      <c r="AD34" s="1">
        <v>4.0206</v>
      </c>
      <c r="AE34" s="1">
        <v>5.1006</v>
      </c>
      <c r="AF34" s="1">
        <v>2.2463000000000002</v>
      </c>
    </row>
    <row r="35" spans="1:32" ht="11.25" x14ac:dyDescent="0.2">
      <c r="A35" s="1">
        <v>17</v>
      </c>
      <c r="B35" s="1">
        <v>1</v>
      </c>
      <c r="C35" s="1">
        <v>25</v>
      </c>
      <c r="D35" s="1">
        <v>1</v>
      </c>
      <c r="E35" s="1">
        <v>1.9185000000000001</v>
      </c>
      <c r="F35" s="1">
        <v>0.77849999999999997</v>
      </c>
      <c r="G35" s="1">
        <v>0.4163</v>
      </c>
      <c r="H35" s="1">
        <v>-0.41699999999999998</v>
      </c>
      <c r="I35" s="1">
        <v>6.9999999999999999E-4</v>
      </c>
      <c r="J35" s="1">
        <v>3.5908000000000002</v>
      </c>
      <c r="K35" s="1">
        <v>3.8549000000000002</v>
      </c>
      <c r="L35" s="1">
        <v>2.1756000000000002</v>
      </c>
      <c r="M35" s="1">
        <v>-55</v>
      </c>
      <c r="N35" s="1">
        <v>1</v>
      </c>
      <c r="O35" s="1">
        <v>2.3148</v>
      </c>
      <c r="P35" s="1">
        <v>0.89770000000000005</v>
      </c>
      <c r="Q35" s="1">
        <v>0.15989999999999999</v>
      </c>
      <c r="R35" s="1">
        <v>-0.2581</v>
      </c>
      <c r="S35" s="1">
        <v>1.6199999999999999E-2</v>
      </c>
      <c r="T35" s="1">
        <v>1.8278000000000001</v>
      </c>
      <c r="U35" s="1">
        <v>2.7523</v>
      </c>
      <c r="V35" s="1">
        <v>2.0009000000000001</v>
      </c>
      <c r="W35" s="1">
        <v>100.7</v>
      </c>
      <c r="X35" s="1">
        <v>1</v>
      </c>
      <c r="Y35" s="1">
        <v>1.4498</v>
      </c>
      <c r="Z35" s="1"/>
      <c r="AA35" s="1">
        <v>0.35680000000000001</v>
      </c>
      <c r="AB35" s="1">
        <v>-0.46789999999999998</v>
      </c>
      <c r="AC35" s="1">
        <v>0.19359999999999999</v>
      </c>
      <c r="AD35" s="1">
        <v>3.9337</v>
      </c>
      <c r="AE35" s="1">
        <v>5.0818000000000003</v>
      </c>
      <c r="AF35" s="1">
        <v>2.3567999999999998</v>
      </c>
    </row>
    <row r="36" spans="1:32" ht="11.25" x14ac:dyDescent="0.2">
      <c r="A36" s="1">
        <v>18</v>
      </c>
      <c r="B36" s="1">
        <v>1</v>
      </c>
      <c r="C36" s="1">
        <v>24.9</v>
      </c>
      <c r="D36" s="1">
        <v>1</v>
      </c>
      <c r="E36" s="1">
        <v>2.0706000000000002</v>
      </c>
      <c r="F36" s="1">
        <v>0.78110000000000002</v>
      </c>
      <c r="G36" s="1">
        <v>0.19239999999999999</v>
      </c>
      <c r="H36" s="1">
        <v>-0.38490000000000002</v>
      </c>
      <c r="I36" s="1">
        <v>8.0000000000000004E-4</v>
      </c>
      <c r="J36" s="1">
        <v>3.4820000000000002</v>
      </c>
      <c r="K36" s="1">
        <v>3.7326999999999999</v>
      </c>
      <c r="L36" s="1">
        <v>1.9938</v>
      </c>
      <c r="M36" s="1">
        <v>-54.9</v>
      </c>
      <c r="N36" s="1">
        <v>1</v>
      </c>
      <c r="O36" s="1">
        <v>2.5244</v>
      </c>
      <c r="P36" s="1">
        <v>0.89949999999999997</v>
      </c>
      <c r="Q36" s="1">
        <v>0.3301</v>
      </c>
      <c r="R36" s="1">
        <v>-0.4229</v>
      </c>
      <c r="S36" s="1">
        <v>1.5900000000000001E-2</v>
      </c>
      <c r="T36" s="1">
        <v>1.7939000000000001</v>
      </c>
      <c r="U36" s="1">
        <v>2.6915</v>
      </c>
      <c r="V36" s="1">
        <v>1.8184</v>
      </c>
      <c r="W36" s="1">
        <v>100.8</v>
      </c>
      <c r="X36" s="1">
        <v>1</v>
      </c>
      <c r="Y36" s="1">
        <v>1.5437000000000001</v>
      </c>
      <c r="Z36" s="1"/>
      <c r="AA36" s="1">
        <v>0.28349999999999997</v>
      </c>
      <c r="AB36" s="1">
        <v>-0.45229999999999998</v>
      </c>
      <c r="AC36" s="1">
        <v>0.1951</v>
      </c>
      <c r="AD36" s="1">
        <v>3.7938000000000001</v>
      </c>
      <c r="AE36" s="1">
        <v>4.9569999999999999</v>
      </c>
      <c r="AF36" s="1">
        <v>2.1698</v>
      </c>
    </row>
    <row r="37" spans="1:32" ht="11.25" x14ac:dyDescent="0.2">
      <c r="A37" s="1">
        <v>20</v>
      </c>
      <c r="B37" s="1">
        <v>1</v>
      </c>
      <c r="C37" s="1">
        <v>25.1</v>
      </c>
      <c r="D37" s="1">
        <v>1</v>
      </c>
      <c r="E37" s="1">
        <v>2.0145</v>
      </c>
      <c r="F37" s="1">
        <v>0.77910000000000001</v>
      </c>
      <c r="G37" s="1">
        <v>0.4093</v>
      </c>
      <c r="H37" s="1">
        <v>-0.47939999999999999</v>
      </c>
      <c r="I37" s="1">
        <v>1.1000000000000001E-3</v>
      </c>
      <c r="J37" s="1">
        <v>3.6932999999999998</v>
      </c>
      <c r="K37" s="1">
        <v>3.8468</v>
      </c>
      <c r="L37" s="1">
        <v>2.1549</v>
      </c>
      <c r="M37" s="1">
        <v>-55</v>
      </c>
      <c r="N37" s="1">
        <v>1</v>
      </c>
      <c r="O37" s="1">
        <v>2.4514</v>
      </c>
      <c r="P37" s="1">
        <v>0.89790000000000003</v>
      </c>
      <c r="Q37" s="1">
        <v>0.25850000000000001</v>
      </c>
      <c r="R37" s="1">
        <v>-0.37480000000000002</v>
      </c>
      <c r="S37" s="1">
        <v>1.7399999999999999E-2</v>
      </c>
      <c r="T37" s="1">
        <v>1.825</v>
      </c>
      <c r="U37" s="1">
        <v>2.6920000000000002</v>
      </c>
      <c r="V37" s="1">
        <v>1.9802</v>
      </c>
      <c r="W37" s="1">
        <v>100.4</v>
      </c>
      <c r="X37" s="1">
        <v>1</v>
      </c>
      <c r="Y37" s="1">
        <v>1.4986999999999999</v>
      </c>
      <c r="Z37" s="1"/>
      <c r="AA37" s="1">
        <v>0.44190000000000002</v>
      </c>
      <c r="AB37" s="1">
        <v>-0.50460000000000005</v>
      </c>
      <c r="AC37" s="1">
        <v>0.19980000000000001</v>
      </c>
      <c r="AD37" s="1">
        <v>3.9352999999999998</v>
      </c>
      <c r="AE37" s="1">
        <v>5.0705</v>
      </c>
      <c r="AF37" s="1">
        <v>2.3368000000000002</v>
      </c>
    </row>
    <row r="38" spans="1:32" ht="11.25" x14ac:dyDescent="0.2">
      <c r="A38" s="1">
        <v>21</v>
      </c>
      <c r="B38" s="1">
        <v>1</v>
      </c>
      <c r="C38" s="1">
        <v>25</v>
      </c>
      <c r="D38" s="1">
        <v>1</v>
      </c>
      <c r="E38" s="1">
        <v>2.1080999999999999</v>
      </c>
      <c r="F38" s="1">
        <v>0.78449999999999998</v>
      </c>
      <c r="G38" s="1">
        <v>0.26390000000000002</v>
      </c>
      <c r="H38" s="1">
        <v>-0.41210000000000002</v>
      </c>
      <c r="I38" s="1">
        <v>1E-3</v>
      </c>
      <c r="J38" s="1">
        <v>3.5888</v>
      </c>
      <c r="K38" s="1">
        <v>3.9358</v>
      </c>
      <c r="L38" s="1">
        <v>1.7885</v>
      </c>
      <c r="M38" s="1">
        <v>-55</v>
      </c>
      <c r="N38" s="1">
        <v>1</v>
      </c>
      <c r="O38" s="1">
        <v>2.5754000000000001</v>
      </c>
      <c r="P38" s="1">
        <v>0.9022</v>
      </c>
      <c r="Q38" s="1">
        <v>0.20369999999999999</v>
      </c>
      <c r="R38" s="1">
        <v>-0.2349</v>
      </c>
      <c r="S38" s="1">
        <v>1.6899999999999998E-2</v>
      </c>
      <c r="T38" s="1">
        <v>2.0312999999999999</v>
      </c>
      <c r="U38" s="1">
        <v>2.8374000000000001</v>
      </c>
      <c r="V38" s="1">
        <v>1.5956999999999999</v>
      </c>
      <c r="W38" s="1">
        <v>100.5</v>
      </c>
      <c r="X38" s="1">
        <v>1</v>
      </c>
      <c r="Y38" s="1">
        <v>1.5627</v>
      </c>
      <c r="Z38" s="1"/>
      <c r="AA38" s="1">
        <v>0.4345</v>
      </c>
      <c r="AB38" s="1">
        <v>-0.48380000000000001</v>
      </c>
      <c r="AC38" s="1">
        <v>0.22170000000000001</v>
      </c>
      <c r="AD38" s="1">
        <v>4.0286999999999997</v>
      </c>
      <c r="AE38" s="1">
        <v>5.1044</v>
      </c>
      <c r="AF38" s="1">
        <v>1.9704999999999999</v>
      </c>
    </row>
    <row r="39" spans="1:32" ht="11.25" x14ac:dyDescent="0.2">
      <c r="A39" s="1">
        <v>22</v>
      </c>
      <c r="B39" s="1">
        <v>1</v>
      </c>
      <c r="C39" s="1">
        <v>24.9</v>
      </c>
      <c r="D39" s="1">
        <v>1</v>
      </c>
      <c r="E39" s="1">
        <v>1.9962</v>
      </c>
      <c r="F39" s="1">
        <v>0.77859999999999996</v>
      </c>
      <c r="G39" s="1">
        <v>0.2571</v>
      </c>
      <c r="H39" s="1">
        <v>-0.3947</v>
      </c>
      <c r="I39" s="1">
        <v>1E-3</v>
      </c>
      <c r="J39" s="1">
        <v>3.6059999999999999</v>
      </c>
      <c r="K39" s="1">
        <v>3.7751999999999999</v>
      </c>
      <c r="L39" s="1">
        <v>2.1059999999999999</v>
      </c>
      <c r="M39" s="1">
        <v>-55.1</v>
      </c>
      <c r="N39" s="1">
        <v>1</v>
      </c>
      <c r="O39" s="1">
        <v>2.4251</v>
      </c>
      <c r="P39" s="1">
        <v>0.89729999999999999</v>
      </c>
      <c r="Q39" s="1">
        <v>0.32279999999999998</v>
      </c>
      <c r="R39" s="1">
        <v>-0.32579999999999998</v>
      </c>
      <c r="S39" s="1">
        <v>1.6400000000000001E-2</v>
      </c>
      <c r="T39" s="1">
        <v>1.7899</v>
      </c>
      <c r="U39" s="1">
        <v>2.6379000000000001</v>
      </c>
      <c r="V39" s="1">
        <v>1.9315</v>
      </c>
      <c r="W39" s="1">
        <v>100.4</v>
      </c>
      <c r="X39" s="1">
        <v>1</v>
      </c>
      <c r="Y39" s="1">
        <v>1.4881</v>
      </c>
      <c r="Z39" s="1"/>
      <c r="AA39" s="1">
        <v>0.39510000000000001</v>
      </c>
      <c r="AB39" s="1">
        <v>-0.49309999999999998</v>
      </c>
      <c r="AC39" s="1">
        <v>0.21460000000000001</v>
      </c>
      <c r="AD39" s="1">
        <v>3.8687</v>
      </c>
      <c r="AE39" s="1">
        <v>5.0049000000000001</v>
      </c>
      <c r="AF39" s="1">
        <v>2.2856000000000001</v>
      </c>
    </row>
    <row r="40" spans="1:32" ht="11.25" x14ac:dyDescent="0.2">
      <c r="A40" s="1">
        <v>23</v>
      </c>
      <c r="B40" s="1">
        <v>1</v>
      </c>
      <c r="C40" s="1">
        <v>25.1</v>
      </c>
      <c r="D40" s="1">
        <v>1</v>
      </c>
      <c r="E40" s="1">
        <v>2.0769000000000002</v>
      </c>
      <c r="F40" s="1">
        <v>0.78100000000000003</v>
      </c>
      <c r="G40" s="1">
        <v>0.27489999999999998</v>
      </c>
      <c r="H40" s="1">
        <v>-0.28050000000000003</v>
      </c>
      <c r="I40" s="1">
        <v>1.1000000000000001E-3</v>
      </c>
      <c r="J40" s="1">
        <v>3.5897000000000001</v>
      </c>
      <c r="K40" s="1">
        <v>3.8237000000000001</v>
      </c>
      <c r="L40" s="1">
        <v>1.9014</v>
      </c>
      <c r="M40" s="1">
        <v>-55.1</v>
      </c>
      <c r="N40" s="1">
        <v>1</v>
      </c>
      <c r="O40" s="1">
        <v>2.5249000000000001</v>
      </c>
      <c r="P40" s="1">
        <v>0.9</v>
      </c>
      <c r="Q40" s="1">
        <v>0.28660000000000002</v>
      </c>
      <c r="R40" s="1">
        <v>-0.27260000000000001</v>
      </c>
      <c r="S40" s="1">
        <v>1.6899999999999998E-2</v>
      </c>
      <c r="T40" s="1">
        <v>1.8580000000000001</v>
      </c>
      <c r="U40" s="1">
        <v>2.7328000000000001</v>
      </c>
      <c r="V40" s="1">
        <v>1.7217</v>
      </c>
      <c r="W40" s="1">
        <v>100.9</v>
      </c>
      <c r="X40" s="1">
        <v>1</v>
      </c>
      <c r="Y40" s="1">
        <v>1.5411999999999999</v>
      </c>
      <c r="Z40" s="1"/>
      <c r="AA40" s="1">
        <v>0.25409999999999999</v>
      </c>
      <c r="AB40" s="1">
        <v>-0.2601</v>
      </c>
      <c r="AC40" s="1">
        <v>0.23130000000000001</v>
      </c>
      <c r="AD40" s="1">
        <v>3.9340999999999999</v>
      </c>
      <c r="AE40" s="1">
        <v>5.0655000000000001</v>
      </c>
      <c r="AF40" s="1">
        <v>2.1078999999999999</v>
      </c>
    </row>
    <row r="41" spans="1:32" ht="11.25" x14ac:dyDescent="0.2">
      <c r="A41" s="1">
        <v>24</v>
      </c>
      <c r="B41" s="1">
        <v>1</v>
      </c>
      <c r="C41" s="1">
        <v>25</v>
      </c>
      <c r="D41" s="1">
        <v>1</v>
      </c>
      <c r="E41" s="1">
        <v>2.0442</v>
      </c>
      <c r="F41" s="1">
        <v>0.77859999999999996</v>
      </c>
      <c r="G41" s="1">
        <v>0.39950000000000002</v>
      </c>
      <c r="H41" s="1">
        <v>-0.4415</v>
      </c>
      <c r="I41" s="1">
        <v>8.0000000000000004E-4</v>
      </c>
      <c r="J41" s="1">
        <v>3.673</v>
      </c>
      <c r="K41" s="1">
        <v>3.9163999999999999</v>
      </c>
      <c r="L41" s="1">
        <v>2.1412</v>
      </c>
      <c r="M41" s="1">
        <v>-55</v>
      </c>
      <c r="N41" s="1">
        <v>1</v>
      </c>
      <c r="O41" s="1">
        <v>2.4799000000000002</v>
      </c>
      <c r="P41" s="1">
        <v>0.89880000000000004</v>
      </c>
      <c r="Q41" s="1">
        <v>0.39450000000000002</v>
      </c>
      <c r="R41" s="1">
        <v>-0.35399999999999998</v>
      </c>
      <c r="S41" s="1">
        <v>1.6500000000000001E-2</v>
      </c>
      <c r="T41" s="1">
        <v>1.8915999999999999</v>
      </c>
      <c r="U41" s="1">
        <v>2.8026</v>
      </c>
      <c r="V41" s="1">
        <v>1.877</v>
      </c>
      <c r="W41" s="1">
        <v>100.8</v>
      </c>
      <c r="X41" s="1">
        <v>1</v>
      </c>
      <c r="Y41" s="1">
        <v>1.5177</v>
      </c>
      <c r="Z41" s="1"/>
      <c r="AA41" s="1">
        <v>0.27939999999999998</v>
      </c>
      <c r="AB41" s="1">
        <v>-0.45750000000000002</v>
      </c>
      <c r="AC41" s="1">
        <v>0.21740000000000001</v>
      </c>
      <c r="AD41" s="1">
        <v>4.0176999999999996</v>
      </c>
      <c r="AE41" s="1">
        <v>5.1509999999999998</v>
      </c>
      <c r="AF41" s="1">
        <v>2.3071999999999999</v>
      </c>
    </row>
    <row r="42" spans="1:32" ht="11.25" x14ac:dyDescent="0.2">
      <c r="A42" s="1">
        <v>25</v>
      </c>
      <c r="B42" s="1">
        <v>1</v>
      </c>
      <c r="C42" s="1">
        <v>25.1</v>
      </c>
      <c r="D42" s="1">
        <v>1</v>
      </c>
      <c r="E42" s="1">
        <v>1.9318</v>
      </c>
      <c r="F42" s="1">
        <v>0.77590000000000003</v>
      </c>
      <c r="G42" s="1">
        <v>0.17280000000000001</v>
      </c>
      <c r="H42" s="1">
        <v>-0.38469999999999999</v>
      </c>
      <c r="I42" s="1">
        <v>1E-3</v>
      </c>
      <c r="J42" s="1">
        <v>3.5276000000000001</v>
      </c>
      <c r="K42" s="1">
        <v>3.7804000000000002</v>
      </c>
      <c r="L42" s="1">
        <v>2.2953999999999999</v>
      </c>
      <c r="M42" s="1">
        <v>-55.2</v>
      </c>
      <c r="N42" s="1">
        <v>1</v>
      </c>
      <c r="O42" s="1">
        <v>2.3437000000000001</v>
      </c>
      <c r="P42" s="1">
        <v>0.89510000000000001</v>
      </c>
      <c r="Q42" s="1">
        <v>0.1948</v>
      </c>
      <c r="R42" s="1">
        <v>-0.2296</v>
      </c>
      <c r="S42" s="1">
        <v>1.5699999999999999E-2</v>
      </c>
      <c r="T42" s="1">
        <v>1.7874000000000001</v>
      </c>
      <c r="U42" s="1">
        <v>2.6755</v>
      </c>
      <c r="V42" s="1">
        <v>2.12</v>
      </c>
      <c r="W42" s="1">
        <v>100.7</v>
      </c>
      <c r="X42" s="1">
        <v>1</v>
      </c>
      <c r="Y42" s="1">
        <v>1.4447000000000001</v>
      </c>
      <c r="Z42" s="1"/>
      <c r="AA42" s="1">
        <v>0.18590000000000001</v>
      </c>
      <c r="AB42" s="1">
        <v>-0.28849999999999998</v>
      </c>
      <c r="AC42" s="1">
        <v>0.19309999999999999</v>
      </c>
      <c r="AD42" s="1">
        <v>3.9350999999999998</v>
      </c>
      <c r="AE42" s="1">
        <v>4.9596</v>
      </c>
      <c r="AF42" s="1">
        <v>2.4662999999999999</v>
      </c>
    </row>
    <row r="43" spans="1:32" ht="11.25" x14ac:dyDescent="0.2">
      <c r="A43" s="1">
        <v>26</v>
      </c>
      <c r="B43" s="1">
        <v>1</v>
      </c>
      <c r="C43" s="1">
        <v>24.9</v>
      </c>
      <c r="D43" s="1">
        <v>1</v>
      </c>
      <c r="E43" s="1">
        <v>1.9301999999999999</v>
      </c>
      <c r="F43" s="1">
        <v>0.77590000000000003</v>
      </c>
      <c r="G43" s="1">
        <v>0.3291</v>
      </c>
      <c r="H43" s="1">
        <v>-0.49020000000000002</v>
      </c>
      <c r="I43" s="1">
        <v>8.0000000000000004E-4</v>
      </c>
      <c r="J43" s="1">
        <v>3.6360000000000001</v>
      </c>
      <c r="K43" s="1">
        <v>3.8086000000000002</v>
      </c>
      <c r="L43" s="1">
        <v>2.2364000000000002</v>
      </c>
      <c r="M43" s="1">
        <v>-55</v>
      </c>
      <c r="N43" s="1">
        <v>1</v>
      </c>
      <c r="O43" s="1">
        <v>2.3531</v>
      </c>
      <c r="P43" s="1">
        <v>0.89580000000000004</v>
      </c>
      <c r="Q43" s="1">
        <v>0.4</v>
      </c>
      <c r="R43" s="1">
        <v>-0.42609999999999998</v>
      </c>
      <c r="S43" s="1">
        <v>1.6799999999999999E-2</v>
      </c>
      <c r="T43" s="1">
        <v>1.8707</v>
      </c>
      <c r="U43" s="1">
        <v>2.7029999999999998</v>
      </c>
      <c r="V43" s="1">
        <v>2.0586000000000002</v>
      </c>
      <c r="W43" s="1">
        <v>101</v>
      </c>
      <c r="X43" s="1">
        <v>1</v>
      </c>
      <c r="Y43" s="1">
        <v>1.4212</v>
      </c>
      <c r="Z43" s="1"/>
      <c r="AA43" s="1">
        <v>0.3679</v>
      </c>
      <c r="AB43" s="1">
        <v>-0.33710000000000001</v>
      </c>
      <c r="AC43" s="1">
        <v>0.22509999999999999</v>
      </c>
      <c r="AD43" s="1">
        <v>3.9834999999999998</v>
      </c>
      <c r="AE43" s="1">
        <v>4.9874000000000001</v>
      </c>
      <c r="AF43" s="1">
        <v>2.3855</v>
      </c>
    </row>
    <row r="44" spans="1:32" ht="11.25" x14ac:dyDescent="0.2">
      <c r="A44" s="1">
        <v>27</v>
      </c>
      <c r="B44" s="1">
        <v>1</v>
      </c>
      <c r="C44" s="1">
        <v>25.2</v>
      </c>
      <c r="D44" s="1">
        <v>1</v>
      </c>
      <c r="E44" s="1">
        <v>2.1034999999999999</v>
      </c>
      <c r="F44" s="1">
        <v>0.78090000000000004</v>
      </c>
      <c r="G44" s="1">
        <v>0.2087</v>
      </c>
      <c r="H44" s="1">
        <v>-0.45689999999999997</v>
      </c>
      <c r="I44" s="1">
        <v>1.1000000000000001E-3</v>
      </c>
      <c r="J44" s="1">
        <v>3.4379</v>
      </c>
      <c r="K44" s="1">
        <v>3.6909000000000001</v>
      </c>
      <c r="L44" s="1">
        <v>1.81</v>
      </c>
      <c r="M44" s="1">
        <v>-55</v>
      </c>
      <c r="N44" s="1">
        <v>1</v>
      </c>
      <c r="O44" s="1">
        <v>2.5586000000000002</v>
      </c>
      <c r="P44" s="1">
        <v>0.89910000000000001</v>
      </c>
      <c r="Q44" s="1">
        <v>0.40610000000000002</v>
      </c>
      <c r="R44" s="1">
        <v>-0.42509999999999998</v>
      </c>
      <c r="S44" s="1">
        <v>1.7299999999999999E-2</v>
      </c>
      <c r="T44" s="1">
        <v>1.7110000000000001</v>
      </c>
      <c r="U44" s="1">
        <v>2.621</v>
      </c>
      <c r="V44" s="1">
        <v>1.6267</v>
      </c>
      <c r="W44" s="1">
        <v>101.2</v>
      </c>
      <c r="X44" s="1">
        <v>1</v>
      </c>
      <c r="Y44" s="1">
        <v>1.5649999999999999</v>
      </c>
      <c r="Z44" s="1"/>
      <c r="AA44" s="1">
        <v>0.45190000000000002</v>
      </c>
      <c r="AB44" s="1">
        <v>-0.49030000000000001</v>
      </c>
      <c r="AC44" s="1">
        <v>0.20530000000000001</v>
      </c>
      <c r="AD44" s="1">
        <v>3.6966999999999999</v>
      </c>
      <c r="AE44" s="1">
        <v>4.8823999999999996</v>
      </c>
      <c r="AF44" s="1">
        <v>1.9127000000000001</v>
      </c>
    </row>
    <row r="45" spans="1:32" ht="11.25" x14ac:dyDescent="0.2">
      <c r="A45" s="1">
        <v>28</v>
      </c>
      <c r="B45" s="1">
        <v>1</v>
      </c>
      <c r="C45" s="1">
        <v>25</v>
      </c>
      <c r="D45" s="1">
        <v>1</v>
      </c>
      <c r="E45" s="1">
        <v>2.0167999999999999</v>
      </c>
      <c r="F45" s="1">
        <v>0.77859999999999996</v>
      </c>
      <c r="G45" s="1">
        <v>0.24610000000000001</v>
      </c>
      <c r="H45" s="1">
        <v>-0.27300000000000002</v>
      </c>
      <c r="I45" s="1">
        <v>8.0000000000000004E-4</v>
      </c>
      <c r="J45" s="1">
        <v>3.5569999999999999</v>
      </c>
      <c r="K45" s="1">
        <v>3.7953000000000001</v>
      </c>
      <c r="L45" s="1">
        <v>2.0922999999999998</v>
      </c>
      <c r="M45" s="1">
        <v>-55</v>
      </c>
      <c r="N45" s="1">
        <v>1</v>
      </c>
      <c r="O45" s="1">
        <v>2.4420000000000002</v>
      </c>
      <c r="P45" s="1">
        <v>0.89870000000000005</v>
      </c>
      <c r="Q45" s="1">
        <v>0.3962</v>
      </c>
      <c r="R45" s="1">
        <v>-0.41789999999999999</v>
      </c>
      <c r="S45" s="1">
        <v>1.6E-2</v>
      </c>
      <c r="T45" s="1">
        <v>1.8636999999999999</v>
      </c>
      <c r="U45" s="1">
        <v>2.6998000000000002</v>
      </c>
      <c r="V45" s="1">
        <v>1.9169</v>
      </c>
      <c r="W45" s="1">
        <v>100.5</v>
      </c>
      <c r="X45" s="1">
        <v>1</v>
      </c>
      <c r="Y45" s="1">
        <v>1.5105999999999999</v>
      </c>
      <c r="Z45" s="1"/>
      <c r="AA45" s="1">
        <v>0.4093</v>
      </c>
      <c r="AB45" s="1">
        <v>-0.37869999999999998</v>
      </c>
      <c r="AC45" s="1">
        <v>0.2044</v>
      </c>
      <c r="AD45" s="1">
        <v>3.9195000000000002</v>
      </c>
      <c r="AE45" s="1">
        <v>5.0239000000000003</v>
      </c>
      <c r="AF45" s="1">
        <v>2.2715000000000001</v>
      </c>
    </row>
    <row r="46" spans="1:32" ht="11.25" x14ac:dyDescent="0.2">
      <c r="A46" s="1">
        <v>29</v>
      </c>
      <c r="B46" s="1">
        <v>1</v>
      </c>
      <c r="C46" s="1">
        <v>25</v>
      </c>
      <c r="D46" s="1">
        <v>1</v>
      </c>
      <c r="E46" s="1">
        <v>1.9981</v>
      </c>
      <c r="F46" s="1">
        <v>0.77769999999999995</v>
      </c>
      <c r="G46" s="1">
        <v>0.38229999999999997</v>
      </c>
      <c r="H46" s="1">
        <v>-0.45929999999999999</v>
      </c>
      <c r="I46" s="1">
        <v>1.1000000000000001E-3</v>
      </c>
      <c r="J46" s="1">
        <v>3.6067999999999998</v>
      </c>
      <c r="K46" s="1">
        <v>3.7924000000000002</v>
      </c>
      <c r="L46" s="1">
        <v>2.1494</v>
      </c>
      <c r="M46" s="1">
        <v>-55.1</v>
      </c>
      <c r="N46" s="1">
        <v>1</v>
      </c>
      <c r="O46" s="1">
        <v>2.4291999999999998</v>
      </c>
      <c r="P46" s="1">
        <v>0.89749999999999996</v>
      </c>
      <c r="Q46" s="1">
        <v>0.30359999999999998</v>
      </c>
      <c r="R46" s="1">
        <v>-0.3029</v>
      </c>
      <c r="S46" s="1">
        <v>1.7299999999999999E-2</v>
      </c>
      <c r="T46" s="1">
        <v>1.883</v>
      </c>
      <c r="U46" s="1">
        <v>2.7138</v>
      </c>
      <c r="V46" s="1">
        <v>1.9658</v>
      </c>
      <c r="W46" s="1">
        <v>100.3</v>
      </c>
      <c r="X46" s="1">
        <v>1</v>
      </c>
      <c r="Y46" s="1">
        <v>1.4797</v>
      </c>
      <c r="Z46" s="1"/>
      <c r="AA46" s="1">
        <v>0.42820000000000003</v>
      </c>
      <c r="AB46" s="1">
        <v>-0.49220000000000003</v>
      </c>
      <c r="AC46" s="1">
        <v>0.2429</v>
      </c>
      <c r="AD46" s="1">
        <v>3.9548999999999999</v>
      </c>
      <c r="AE46" s="1">
        <v>5.0136000000000003</v>
      </c>
      <c r="AF46" s="1">
        <v>2.3397000000000001</v>
      </c>
    </row>
    <row r="47" spans="1:32" ht="11.25" x14ac:dyDescent="0.2">
      <c r="A47" s="1">
        <v>30</v>
      </c>
      <c r="B47" s="1">
        <v>1</v>
      </c>
      <c r="C47" s="1">
        <v>25</v>
      </c>
      <c r="D47" s="1">
        <v>1</v>
      </c>
      <c r="E47" s="1">
        <v>1.9359</v>
      </c>
      <c r="F47" s="1">
        <v>0.77680000000000005</v>
      </c>
      <c r="G47" s="1">
        <v>0.3599</v>
      </c>
      <c r="H47" s="1">
        <v>-0.48309999999999997</v>
      </c>
      <c r="I47" s="1">
        <v>5.9999999999999995E-4</v>
      </c>
      <c r="J47" s="1">
        <v>3.6229</v>
      </c>
      <c r="K47" s="1">
        <v>3.7639</v>
      </c>
      <c r="L47" s="1">
        <v>2.2669000000000001</v>
      </c>
      <c r="M47" s="1">
        <v>-55.1</v>
      </c>
      <c r="N47" s="1">
        <v>1</v>
      </c>
      <c r="O47" s="1">
        <v>2.3637000000000001</v>
      </c>
      <c r="P47" s="1">
        <v>0.89590000000000003</v>
      </c>
      <c r="Q47" s="1">
        <v>0.17399999999999999</v>
      </c>
      <c r="R47" s="1">
        <v>-0.26910000000000001</v>
      </c>
      <c r="S47" s="1">
        <v>1.6799999999999999E-2</v>
      </c>
      <c r="T47" s="1">
        <v>1.8065</v>
      </c>
      <c r="U47" s="1">
        <v>2.6696</v>
      </c>
      <c r="V47" s="1">
        <v>2.0918999999999999</v>
      </c>
      <c r="W47" s="1">
        <v>100.5</v>
      </c>
      <c r="X47" s="1">
        <v>1</v>
      </c>
      <c r="Y47" s="1">
        <v>1.4244000000000001</v>
      </c>
      <c r="Z47" s="1"/>
      <c r="AA47" s="1">
        <v>0.39800000000000002</v>
      </c>
      <c r="AB47" s="1">
        <v>-0.5202</v>
      </c>
      <c r="AC47" s="1">
        <v>0.22889999999999999</v>
      </c>
      <c r="AD47" s="1">
        <v>3.9485000000000001</v>
      </c>
      <c r="AE47" s="1">
        <v>5.0237999999999996</v>
      </c>
      <c r="AF47" s="1">
        <v>2.4548000000000001</v>
      </c>
    </row>
    <row r="48" spans="1:32" ht="11.25" x14ac:dyDescent="0.2">
      <c r="A48" s="1">
        <v>31</v>
      </c>
      <c r="B48" s="1">
        <v>1</v>
      </c>
      <c r="C48" s="1">
        <v>25.1</v>
      </c>
      <c r="D48" s="1">
        <v>1</v>
      </c>
      <c r="E48" s="1">
        <v>1.9766999999999999</v>
      </c>
      <c r="F48" s="1">
        <v>0.78590000000000004</v>
      </c>
      <c r="G48" s="1">
        <v>0.3115</v>
      </c>
      <c r="H48" s="1">
        <v>-0.4531</v>
      </c>
      <c r="I48" s="1">
        <v>8.9999999999999998E-4</v>
      </c>
      <c r="J48" s="1">
        <v>3.5371999999999999</v>
      </c>
      <c r="K48" s="1">
        <v>4.2173999999999996</v>
      </c>
      <c r="L48" s="1">
        <v>1.8435999999999999</v>
      </c>
      <c r="M48" s="1">
        <v>-55.5</v>
      </c>
      <c r="N48" s="1">
        <v>1</v>
      </c>
      <c r="O48" s="1">
        <v>2.3807999999999998</v>
      </c>
      <c r="P48" s="1">
        <v>0.90349999999999997</v>
      </c>
      <c r="Q48" s="1">
        <v>0.39439999999999997</v>
      </c>
      <c r="R48" s="1">
        <v>-0.38450000000000001</v>
      </c>
      <c r="S48" s="1">
        <v>1.6500000000000001E-2</v>
      </c>
      <c r="T48" s="1">
        <v>1.8573</v>
      </c>
      <c r="U48" s="1">
        <v>3.1341999999999999</v>
      </c>
      <c r="V48" s="1">
        <v>1.6779999999999999</v>
      </c>
      <c r="W48" s="1">
        <v>100.4</v>
      </c>
      <c r="X48" s="1">
        <v>1</v>
      </c>
      <c r="Y48" s="1">
        <v>1.4955000000000001</v>
      </c>
      <c r="Z48" s="1"/>
      <c r="AA48" s="1">
        <v>0.35630000000000001</v>
      </c>
      <c r="AB48" s="1">
        <v>-0.50849999999999995</v>
      </c>
      <c r="AC48" s="1">
        <v>0.20599999999999999</v>
      </c>
      <c r="AD48" s="1">
        <v>3.9649000000000001</v>
      </c>
      <c r="AE48" s="1">
        <v>5.3803999999999998</v>
      </c>
      <c r="AF48" s="1">
        <v>2.0167999999999999</v>
      </c>
    </row>
    <row r="49" spans="1:32" ht="11.25" x14ac:dyDescent="0.2">
      <c r="A49" s="1">
        <v>32</v>
      </c>
      <c r="B49" s="1">
        <v>1</v>
      </c>
      <c r="C49" s="1">
        <v>25</v>
      </c>
      <c r="D49" s="1">
        <v>1</v>
      </c>
      <c r="E49" s="1">
        <v>2.0533999999999999</v>
      </c>
      <c r="F49" s="1">
        <v>0.78339999999999999</v>
      </c>
      <c r="G49" s="1">
        <v>0.3644</v>
      </c>
      <c r="H49" s="1">
        <v>-0.48630000000000001</v>
      </c>
      <c r="I49" s="1">
        <v>1.1000000000000001E-3</v>
      </c>
      <c r="J49" s="1">
        <v>3.5213999999999999</v>
      </c>
      <c r="K49" s="1">
        <v>3.7559999999999998</v>
      </c>
      <c r="L49" s="1">
        <v>1.8334999999999999</v>
      </c>
      <c r="M49" s="1">
        <v>-55.2</v>
      </c>
      <c r="N49" s="1">
        <v>1</v>
      </c>
      <c r="O49" s="1">
        <v>2.4882</v>
      </c>
      <c r="P49" s="1">
        <v>0.90100000000000002</v>
      </c>
      <c r="Q49" s="1">
        <v>0.37880000000000003</v>
      </c>
      <c r="R49" s="1">
        <v>-0.38590000000000002</v>
      </c>
      <c r="S49" s="1">
        <v>1.5699999999999999E-2</v>
      </c>
      <c r="T49" s="1">
        <v>1.7575000000000001</v>
      </c>
      <c r="U49" s="1">
        <v>2.6791</v>
      </c>
      <c r="V49" s="1">
        <v>1.669</v>
      </c>
      <c r="W49" s="1">
        <v>100.7</v>
      </c>
      <c r="X49" s="1">
        <v>1</v>
      </c>
      <c r="Y49" s="1">
        <v>1.5430999999999999</v>
      </c>
      <c r="Z49" s="1"/>
      <c r="AA49" s="1">
        <v>0.2273</v>
      </c>
      <c r="AB49" s="1">
        <v>-0.36849999999999999</v>
      </c>
      <c r="AC49" s="1">
        <v>0.18920000000000001</v>
      </c>
      <c r="AD49" s="1">
        <v>3.8226</v>
      </c>
      <c r="AE49" s="1">
        <v>4.9371</v>
      </c>
      <c r="AF49" s="1">
        <v>2.0004</v>
      </c>
    </row>
    <row r="50" spans="1:32" ht="11.25" x14ac:dyDescent="0.2">
      <c r="A50" s="1">
        <v>33</v>
      </c>
      <c r="B50" s="1">
        <v>1</v>
      </c>
      <c r="C50" s="1">
        <v>25</v>
      </c>
      <c r="D50" s="1">
        <v>1</v>
      </c>
      <c r="E50" s="1">
        <v>1.9362999999999999</v>
      </c>
      <c r="F50" s="1">
        <v>0.7762</v>
      </c>
      <c r="G50" s="1">
        <v>0.37830000000000003</v>
      </c>
      <c r="H50" s="1">
        <v>-0.48299999999999998</v>
      </c>
      <c r="I50" s="1">
        <v>8.9999999999999998E-4</v>
      </c>
      <c r="J50" s="1">
        <v>3.6600999999999999</v>
      </c>
      <c r="K50" s="1">
        <v>3.7826</v>
      </c>
      <c r="L50" s="1">
        <v>2.17</v>
      </c>
      <c r="M50" s="1">
        <v>-55</v>
      </c>
      <c r="N50" s="1">
        <v>1</v>
      </c>
      <c r="O50" s="1">
        <v>2.3588</v>
      </c>
      <c r="P50" s="1">
        <v>0.89639999999999997</v>
      </c>
      <c r="Q50" s="1">
        <v>0.3095</v>
      </c>
      <c r="R50" s="1">
        <v>-0.31619999999999998</v>
      </c>
      <c r="S50" s="1">
        <v>1.67E-2</v>
      </c>
      <c r="T50" s="1">
        <v>1.8812</v>
      </c>
      <c r="U50" s="1">
        <v>2.6667999999999998</v>
      </c>
      <c r="V50" s="1">
        <v>1.8756999999999999</v>
      </c>
      <c r="W50" s="1">
        <v>100.3</v>
      </c>
      <c r="X50" s="1">
        <v>1</v>
      </c>
      <c r="Y50" s="1">
        <v>1.4347000000000001</v>
      </c>
      <c r="Z50" s="1"/>
      <c r="AA50" s="1">
        <v>0.44450000000000001</v>
      </c>
      <c r="AB50" s="1">
        <v>-0.49940000000000001</v>
      </c>
      <c r="AC50" s="1">
        <v>0.22989999999999999</v>
      </c>
      <c r="AD50" s="1">
        <v>4.0058999999999996</v>
      </c>
      <c r="AE50" s="1">
        <v>4.9762000000000004</v>
      </c>
      <c r="AF50" s="1">
        <v>2.4138999999999999</v>
      </c>
    </row>
    <row r="51" spans="1:32" ht="11.25" x14ac:dyDescent="0.2">
      <c r="A51" s="1">
        <v>34</v>
      </c>
      <c r="B51" s="1">
        <v>1</v>
      </c>
      <c r="C51" s="1">
        <v>24.9</v>
      </c>
      <c r="D51" s="1">
        <v>1</v>
      </c>
      <c r="E51" s="1">
        <v>2.3054000000000001</v>
      </c>
      <c r="F51" s="1">
        <v>0.78990000000000005</v>
      </c>
      <c r="G51" s="1">
        <v>0.33260000000000001</v>
      </c>
      <c r="H51" s="1">
        <v>-0.44340000000000002</v>
      </c>
      <c r="I51" s="1">
        <v>1.1000000000000001E-3</v>
      </c>
      <c r="J51" s="1">
        <v>3.5432000000000001</v>
      </c>
      <c r="K51" s="1">
        <v>4.0709</v>
      </c>
      <c r="L51" s="1">
        <v>1.7647999999999999</v>
      </c>
      <c r="M51" s="1">
        <v>-55.2</v>
      </c>
      <c r="N51" s="1">
        <v>1</v>
      </c>
      <c r="O51" s="1">
        <v>2.7926000000000002</v>
      </c>
      <c r="P51" s="1">
        <v>0.90580000000000005</v>
      </c>
      <c r="Q51" s="1">
        <v>0.38290000000000002</v>
      </c>
      <c r="R51" s="1">
        <v>-0.45379999999999998</v>
      </c>
      <c r="S51" s="1">
        <v>1.6899999999999998E-2</v>
      </c>
      <c r="T51" s="1">
        <v>1.8111999999999999</v>
      </c>
      <c r="U51" s="1">
        <v>3.0977999999999999</v>
      </c>
      <c r="V51" s="1">
        <v>1.6003000000000001</v>
      </c>
      <c r="W51" s="1">
        <v>100.8</v>
      </c>
      <c r="X51" s="1">
        <v>1</v>
      </c>
      <c r="Y51" s="1">
        <v>1.7205999999999999</v>
      </c>
      <c r="Z51" s="1"/>
      <c r="AA51" s="1">
        <v>0.2268</v>
      </c>
      <c r="AB51" s="1">
        <v>-0.30480000000000002</v>
      </c>
      <c r="AC51" s="1">
        <v>0.17910000000000001</v>
      </c>
      <c r="AD51" s="1">
        <v>3.8929</v>
      </c>
      <c r="AE51" s="1">
        <v>5.1879999999999997</v>
      </c>
      <c r="AF51" s="1">
        <v>1.9742</v>
      </c>
    </row>
    <row r="52" spans="1:32" ht="11.25" x14ac:dyDescent="0.2">
      <c r="A52" s="1">
        <v>35</v>
      </c>
      <c r="B52" s="1">
        <v>1</v>
      </c>
      <c r="C52" s="1">
        <v>25.1</v>
      </c>
      <c r="D52" s="1">
        <v>1</v>
      </c>
      <c r="E52" s="1">
        <v>1.9341999999999999</v>
      </c>
      <c r="F52" s="1">
        <v>0.77829999999999999</v>
      </c>
      <c r="G52" s="1">
        <v>0.40960000000000002</v>
      </c>
      <c r="H52" s="1">
        <v>-0.47099999999999997</v>
      </c>
      <c r="I52" s="1">
        <v>5.9999999999999995E-4</v>
      </c>
      <c r="J52" s="1">
        <v>3.6604000000000001</v>
      </c>
      <c r="K52" s="1">
        <v>3.9064000000000001</v>
      </c>
      <c r="L52" s="1">
        <v>2.2542</v>
      </c>
      <c r="M52" s="1">
        <v>-55</v>
      </c>
      <c r="N52" s="1">
        <v>1</v>
      </c>
      <c r="O52" s="1">
        <v>2.3454999999999999</v>
      </c>
      <c r="P52" s="1">
        <v>0.89810000000000001</v>
      </c>
      <c r="Q52" s="1">
        <v>0.1933</v>
      </c>
      <c r="R52" s="1">
        <v>-0.24199999999999999</v>
      </c>
      <c r="S52" s="1">
        <v>1.6199999999999999E-2</v>
      </c>
      <c r="T52" s="1">
        <v>1.9551000000000001</v>
      </c>
      <c r="U52" s="1">
        <v>2.7719999999999998</v>
      </c>
      <c r="V52" s="1">
        <v>2.0771999999999999</v>
      </c>
      <c r="W52" s="1">
        <v>100.7</v>
      </c>
      <c r="X52" s="1">
        <v>1</v>
      </c>
      <c r="Y52" s="1">
        <v>1.4286000000000001</v>
      </c>
      <c r="Z52" s="1"/>
      <c r="AA52" s="1">
        <v>0.24610000000000001</v>
      </c>
      <c r="AB52" s="1">
        <v>-0.34610000000000002</v>
      </c>
      <c r="AC52" s="1">
        <v>0.23710000000000001</v>
      </c>
      <c r="AD52" s="1">
        <v>4.1026999999999996</v>
      </c>
      <c r="AE52" s="1">
        <v>5.1082000000000001</v>
      </c>
      <c r="AF52" s="1">
        <v>2.4422000000000001</v>
      </c>
    </row>
    <row r="53" spans="1:32" ht="11.25" x14ac:dyDescent="0.2">
      <c r="A53" s="1">
        <v>36</v>
      </c>
      <c r="B53" s="1">
        <v>1</v>
      </c>
      <c r="C53" s="1">
        <v>25.2</v>
      </c>
      <c r="D53" s="1">
        <v>1</v>
      </c>
      <c r="E53" s="1">
        <v>2.0240999999999998</v>
      </c>
      <c r="F53" s="1">
        <v>0.78080000000000005</v>
      </c>
      <c r="G53" s="1">
        <v>0.1694</v>
      </c>
      <c r="H53" s="1">
        <v>-0.27110000000000001</v>
      </c>
      <c r="I53" s="1">
        <v>6.9999999999999999E-4</v>
      </c>
      <c r="J53" s="1">
        <v>3.585</v>
      </c>
      <c r="K53" s="1">
        <v>3.8658000000000001</v>
      </c>
      <c r="L53" s="1">
        <v>1.9705999999999999</v>
      </c>
      <c r="M53" s="1">
        <v>-54.9</v>
      </c>
      <c r="N53" s="1">
        <v>1</v>
      </c>
      <c r="O53" s="1">
        <v>2.4422999999999999</v>
      </c>
      <c r="P53" s="1">
        <v>0.8992</v>
      </c>
      <c r="Q53" s="1">
        <v>0.38</v>
      </c>
      <c r="R53" s="1">
        <v>-0.38269999999999998</v>
      </c>
      <c r="S53" s="1">
        <v>1.7299999999999999E-2</v>
      </c>
      <c r="T53" s="1">
        <v>1.8355999999999999</v>
      </c>
      <c r="U53" s="1">
        <v>2.7484999999999999</v>
      </c>
      <c r="V53" s="1">
        <v>1.7762</v>
      </c>
      <c r="W53" s="1">
        <v>100.6</v>
      </c>
      <c r="X53" s="1">
        <v>1</v>
      </c>
      <c r="Y53" s="1">
        <v>1.5315000000000001</v>
      </c>
      <c r="Z53" s="1"/>
      <c r="AA53" s="1">
        <v>0.31859999999999999</v>
      </c>
      <c r="AB53" s="1">
        <v>-0.47810000000000002</v>
      </c>
      <c r="AC53" s="1">
        <v>0.18429999999999999</v>
      </c>
      <c r="AD53" s="1">
        <v>3.8797999999999999</v>
      </c>
      <c r="AE53" s="1">
        <v>5.0045999999999999</v>
      </c>
      <c r="AF53" s="1">
        <v>2.0891000000000002</v>
      </c>
    </row>
    <row r="54" spans="1:32" ht="11.25" x14ac:dyDescent="0.2">
      <c r="A54" s="1">
        <v>37</v>
      </c>
      <c r="B54" s="1">
        <v>1</v>
      </c>
      <c r="C54" s="1">
        <v>24.9</v>
      </c>
      <c r="D54" s="1">
        <v>1</v>
      </c>
      <c r="E54" s="1">
        <v>1.9384999999999999</v>
      </c>
      <c r="F54" s="1">
        <v>0.77669999999999995</v>
      </c>
      <c r="G54" s="1">
        <v>0.35020000000000001</v>
      </c>
      <c r="H54" s="1">
        <v>-0.46660000000000001</v>
      </c>
      <c r="I54" s="1">
        <v>8.0000000000000004E-4</v>
      </c>
      <c r="J54" s="1">
        <v>3.6676000000000002</v>
      </c>
      <c r="K54" s="1">
        <v>3.8641000000000001</v>
      </c>
      <c r="L54" s="1">
        <v>2.2391999999999999</v>
      </c>
      <c r="M54" s="1">
        <v>-55.3</v>
      </c>
      <c r="N54" s="1">
        <v>1</v>
      </c>
      <c r="O54" s="1">
        <v>2.3435000000000001</v>
      </c>
      <c r="P54" s="1">
        <v>0.89710000000000001</v>
      </c>
      <c r="Q54" s="1">
        <v>0.17849999999999999</v>
      </c>
      <c r="R54" s="1">
        <v>-0.21679999999999999</v>
      </c>
      <c r="S54" s="1">
        <v>1.7100000000000001E-2</v>
      </c>
      <c r="T54" s="1">
        <v>1.9164000000000001</v>
      </c>
      <c r="U54" s="1">
        <v>2.7667999999999999</v>
      </c>
      <c r="V54" s="1">
        <v>2.0621999999999998</v>
      </c>
      <c r="W54" s="1">
        <v>100.8</v>
      </c>
      <c r="X54" s="1">
        <v>1</v>
      </c>
      <c r="Y54" s="1">
        <v>1.4431</v>
      </c>
      <c r="Z54" s="1"/>
      <c r="AA54" s="1">
        <v>0.36059999999999998</v>
      </c>
      <c r="AB54" s="1">
        <v>-0.52159999999999995</v>
      </c>
      <c r="AC54" s="1">
        <v>0.22450000000000001</v>
      </c>
      <c r="AD54" s="1">
        <v>4.0610999999999997</v>
      </c>
      <c r="AE54" s="1">
        <v>5.1002000000000001</v>
      </c>
      <c r="AF54" s="1">
        <v>2.4228000000000001</v>
      </c>
    </row>
    <row r="55" spans="1:32" ht="11.25" x14ac:dyDescent="0.2">
      <c r="A55" s="1">
        <v>38</v>
      </c>
      <c r="B55" s="1">
        <v>1</v>
      </c>
      <c r="C55" s="1">
        <v>25</v>
      </c>
      <c r="D55" s="1">
        <v>1</v>
      </c>
      <c r="E55" s="1">
        <v>2.1640000000000001</v>
      </c>
      <c r="F55" s="1">
        <v>0.78580000000000005</v>
      </c>
      <c r="G55" s="1">
        <v>0.17960000000000001</v>
      </c>
      <c r="H55" s="1">
        <v>-0.22259999999999999</v>
      </c>
      <c r="I55" s="1">
        <v>1.1999999999999999E-3</v>
      </c>
      <c r="J55" s="1">
        <v>3.4792000000000001</v>
      </c>
      <c r="K55" s="1">
        <v>3.8948999999999998</v>
      </c>
      <c r="L55" s="1">
        <v>1.7382</v>
      </c>
      <c r="M55" s="1">
        <v>-55</v>
      </c>
      <c r="N55" s="1">
        <v>1</v>
      </c>
      <c r="O55" s="1">
        <v>2.6179000000000001</v>
      </c>
      <c r="P55" s="1">
        <v>0.90339999999999998</v>
      </c>
      <c r="Q55" s="1">
        <v>0.1714</v>
      </c>
      <c r="R55" s="1">
        <v>-0.2354</v>
      </c>
      <c r="S55" s="1">
        <v>1.66E-2</v>
      </c>
      <c r="T55" s="1">
        <v>1.7782</v>
      </c>
      <c r="U55" s="1">
        <v>2.847</v>
      </c>
      <c r="V55" s="1">
        <v>1.5761000000000001</v>
      </c>
      <c r="W55" s="1">
        <v>100.8</v>
      </c>
      <c r="X55" s="1">
        <v>1</v>
      </c>
      <c r="Y55" s="1">
        <v>1.6222000000000001</v>
      </c>
      <c r="Z55" s="1"/>
      <c r="AA55" s="1">
        <v>0.33829999999999999</v>
      </c>
      <c r="AB55" s="1">
        <v>-0.33700000000000002</v>
      </c>
      <c r="AC55" s="1">
        <v>0.21290000000000001</v>
      </c>
      <c r="AD55" s="1">
        <v>3.7995999999999999</v>
      </c>
      <c r="AE55" s="1">
        <v>5.1616</v>
      </c>
      <c r="AF55" s="1">
        <v>1.903</v>
      </c>
    </row>
    <row r="56" spans="1:32" ht="11.25" x14ac:dyDescent="0.2">
      <c r="A56" s="1">
        <v>39</v>
      </c>
      <c r="B56" s="1">
        <v>1</v>
      </c>
      <c r="C56" s="1">
        <v>25</v>
      </c>
      <c r="D56" s="1">
        <v>1</v>
      </c>
      <c r="E56" s="1">
        <v>1.9252</v>
      </c>
      <c r="F56" s="1">
        <v>0.78069999999999995</v>
      </c>
      <c r="G56" s="1">
        <v>0.37569999999999998</v>
      </c>
      <c r="H56" s="1">
        <v>-0.3886</v>
      </c>
      <c r="I56" s="1">
        <v>8.0000000000000004E-4</v>
      </c>
      <c r="J56" s="1">
        <v>3.4552</v>
      </c>
      <c r="K56" s="1">
        <v>3.8342999999999998</v>
      </c>
      <c r="L56" s="1">
        <v>2.0087999999999999</v>
      </c>
      <c r="M56" s="1">
        <v>-55.1</v>
      </c>
      <c r="N56" s="1">
        <v>1</v>
      </c>
      <c r="O56" s="1">
        <v>2.3228</v>
      </c>
      <c r="P56" s="1">
        <v>0.89949999999999997</v>
      </c>
      <c r="Q56" s="1">
        <v>0.17169999999999999</v>
      </c>
      <c r="R56" s="1">
        <v>-0.24</v>
      </c>
      <c r="S56" s="1">
        <v>1.66E-2</v>
      </c>
      <c r="T56" s="1">
        <v>1.7729999999999999</v>
      </c>
      <c r="U56" s="1">
        <v>2.7673999999999999</v>
      </c>
      <c r="V56" s="1">
        <v>1.8374999999999999</v>
      </c>
      <c r="W56" s="1">
        <v>101.2</v>
      </c>
      <c r="X56" s="1">
        <v>1</v>
      </c>
      <c r="Y56" s="1">
        <v>1.4556</v>
      </c>
      <c r="Z56" s="1"/>
      <c r="AA56" s="1">
        <v>0.32550000000000001</v>
      </c>
      <c r="AB56" s="1">
        <v>-0.34620000000000001</v>
      </c>
      <c r="AC56" s="1">
        <v>0.19370000000000001</v>
      </c>
      <c r="AD56" s="1">
        <v>3.7705000000000002</v>
      </c>
      <c r="AE56" s="1">
        <v>4.9518000000000004</v>
      </c>
      <c r="AF56" s="1">
        <v>2.1816</v>
      </c>
    </row>
    <row r="57" spans="1:32" ht="11.25" x14ac:dyDescent="0.2">
      <c r="A57" s="1">
        <v>40</v>
      </c>
      <c r="B57" s="1">
        <v>1</v>
      </c>
      <c r="C57" s="1">
        <v>25.3</v>
      </c>
      <c r="D57" s="1">
        <v>1</v>
      </c>
      <c r="E57" s="1">
        <v>1.9899</v>
      </c>
      <c r="F57" s="1">
        <v>0.78849999999999998</v>
      </c>
      <c r="G57" s="1">
        <v>0.23519999999999999</v>
      </c>
      <c r="H57" s="1">
        <v>-0.42720000000000002</v>
      </c>
      <c r="I57" s="1">
        <v>1.1000000000000001E-3</v>
      </c>
      <c r="J57" s="1">
        <v>3.6438999999999999</v>
      </c>
      <c r="K57" s="1">
        <v>4.3574000000000002</v>
      </c>
      <c r="L57" s="1">
        <v>1.7746</v>
      </c>
      <c r="M57" s="1">
        <v>-55.1</v>
      </c>
      <c r="N57" s="1">
        <v>1</v>
      </c>
      <c r="O57" s="1">
        <v>2.3971</v>
      </c>
      <c r="P57" s="1">
        <v>0.90559999999999996</v>
      </c>
      <c r="Q57" s="1">
        <v>0.27860000000000001</v>
      </c>
      <c r="R57" s="1">
        <v>-0.2472</v>
      </c>
      <c r="S57" s="1">
        <v>1.67E-2</v>
      </c>
      <c r="T57" s="1">
        <v>1.8569</v>
      </c>
      <c r="U57" s="1">
        <v>3.153</v>
      </c>
      <c r="V57" s="1">
        <v>1.6117999999999999</v>
      </c>
      <c r="W57" s="1">
        <v>101</v>
      </c>
      <c r="X57" s="1">
        <v>1</v>
      </c>
      <c r="Y57" s="1">
        <v>1.5089999999999999</v>
      </c>
      <c r="Z57" s="1"/>
      <c r="AA57" s="1">
        <v>0.45590000000000003</v>
      </c>
      <c r="AB57" s="1">
        <v>-0.504</v>
      </c>
      <c r="AC57" s="1">
        <v>0.20219999999999999</v>
      </c>
      <c r="AD57" s="1">
        <v>3.9699</v>
      </c>
      <c r="AE57" s="1">
        <v>5.5751999999999997</v>
      </c>
      <c r="AF57" s="1">
        <v>1.9431</v>
      </c>
    </row>
    <row r="58" spans="1:32" ht="11.25" x14ac:dyDescent="0.2">
      <c r="A58" s="1">
        <v>41</v>
      </c>
      <c r="B58" s="1">
        <v>1</v>
      </c>
      <c r="C58" s="1">
        <v>24.9</v>
      </c>
      <c r="D58" s="1">
        <v>1</v>
      </c>
      <c r="E58" s="1">
        <v>2.0308999999999999</v>
      </c>
      <c r="F58" s="1">
        <v>0.77710000000000001</v>
      </c>
      <c r="G58" s="1">
        <v>0.3382</v>
      </c>
      <c r="H58" s="1">
        <v>-0.3488</v>
      </c>
      <c r="I58" s="1">
        <v>8.0000000000000004E-4</v>
      </c>
      <c r="J58" s="1">
        <v>3.59</v>
      </c>
      <c r="K58" s="1">
        <v>3.8855</v>
      </c>
      <c r="L58" s="1">
        <v>2.2631000000000001</v>
      </c>
      <c r="M58" s="1">
        <v>-55.2</v>
      </c>
      <c r="N58" s="1">
        <v>1</v>
      </c>
      <c r="O58" s="1">
        <v>2.4710000000000001</v>
      </c>
      <c r="P58" s="1">
        <v>0.89780000000000004</v>
      </c>
      <c r="Q58" s="1">
        <v>0.16880000000000001</v>
      </c>
      <c r="R58" s="1">
        <v>-0.22989999999999999</v>
      </c>
      <c r="S58" s="1">
        <v>1.6899999999999998E-2</v>
      </c>
      <c r="T58" s="1">
        <v>1.8920999999999999</v>
      </c>
      <c r="U58" s="1">
        <v>2.7480000000000002</v>
      </c>
      <c r="V58" s="1">
        <v>2.0838999999999999</v>
      </c>
      <c r="W58" s="1">
        <v>101.1</v>
      </c>
      <c r="X58" s="1">
        <v>1</v>
      </c>
      <c r="Y58" s="1">
        <v>1.5022</v>
      </c>
      <c r="Z58" s="1"/>
      <c r="AA58" s="1">
        <v>0.21759999999999999</v>
      </c>
      <c r="AB58" s="1">
        <v>-0.34799999999999998</v>
      </c>
      <c r="AC58" s="1">
        <v>0.22939999999999999</v>
      </c>
      <c r="AD58" s="1">
        <v>3.9283000000000001</v>
      </c>
      <c r="AE58" s="1">
        <v>5.0750000000000002</v>
      </c>
      <c r="AF58" s="1">
        <v>2.4535</v>
      </c>
    </row>
    <row r="59" spans="1:32" ht="11.25" x14ac:dyDescent="0.2">
      <c r="A59" s="1">
        <v>42</v>
      </c>
      <c r="B59" s="1">
        <v>1</v>
      </c>
      <c r="C59" s="1">
        <v>25</v>
      </c>
      <c r="D59" s="1">
        <v>1</v>
      </c>
      <c r="E59" s="1">
        <v>2.1623999999999999</v>
      </c>
      <c r="F59" s="1">
        <v>0.7853</v>
      </c>
      <c r="G59" s="1">
        <v>0.23039999999999999</v>
      </c>
      <c r="H59" s="1">
        <v>-0.3821</v>
      </c>
      <c r="I59" s="1">
        <v>1E-3</v>
      </c>
      <c r="J59" s="1">
        <v>3.589</v>
      </c>
      <c r="K59" s="1">
        <v>3.9365000000000001</v>
      </c>
      <c r="L59" s="1">
        <v>1.8365</v>
      </c>
      <c r="M59" s="1">
        <v>-55</v>
      </c>
      <c r="N59" s="1">
        <v>1</v>
      </c>
      <c r="O59" s="1">
        <v>2.6389</v>
      </c>
      <c r="P59" s="1">
        <v>0.9022</v>
      </c>
      <c r="Q59" s="1">
        <v>0.34920000000000001</v>
      </c>
      <c r="R59" s="1">
        <v>-0.42770000000000002</v>
      </c>
      <c r="S59" s="1">
        <v>1.6E-2</v>
      </c>
      <c r="T59" s="1">
        <v>1.8393999999999999</v>
      </c>
      <c r="U59" s="1">
        <v>2.8868</v>
      </c>
      <c r="V59" s="1">
        <v>1.6707000000000001</v>
      </c>
      <c r="W59" s="1">
        <v>100.8</v>
      </c>
      <c r="X59" s="1">
        <v>1</v>
      </c>
      <c r="Y59" s="1">
        <v>1.6173999999999999</v>
      </c>
      <c r="Z59" s="1"/>
      <c r="AA59" s="1">
        <v>0.39</v>
      </c>
      <c r="AB59" s="1">
        <v>-0.3841</v>
      </c>
      <c r="AC59" s="1">
        <v>0.19070000000000001</v>
      </c>
      <c r="AD59" s="1">
        <v>3.9032</v>
      </c>
      <c r="AE59" s="1">
        <v>5.1139000000000001</v>
      </c>
      <c r="AF59" s="1">
        <v>2.0024000000000002</v>
      </c>
    </row>
    <row r="60" spans="1:32" ht="11.25" x14ac:dyDescent="0.2">
      <c r="A60" s="1">
        <v>43</v>
      </c>
      <c r="B60" s="1">
        <v>1</v>
      </c>
      <c r="C60" s="1">
        <v>25.1</v>
      </c>
      <c r="D60" s="1">
        <v>1</v>
      </c>
      <c r="E60" s="1">
        <v>1.9428000000000001</v>
      </c>
      <c r="F60" s="1">
        <v>0.78069999999999995</v>
      </c>
      <c r="G60" s="1">
        <v>0.22489999999999999</v>
      </c>
      <c r="H60" s="1">
        <v>-0.39029999999999998</v>
      </c>
      <c r="I60" s="1">
        <v>1E-3</v>
      </c>
      <c r="J60" s="1">
        <v>3.6381999999999999</v>
      </c>
      <c r="K60" s="1">
        <v>3.9306999999999999</v>
      </c>
      <c r="L60" s="1">
        <v>2.1206999999999998</v>
      </c>
      <c r="M60" s="1">
        <v>-55</v>
      </c>
      <c r="N60" s="1">
        <v>1</v>
      </c>
      <c r="O60" s="1">
        <v>2.3489</v>
      </c>
      <c r="P60" s="1">
        <v>0.9</v>
      </c>
      <c r="Q60" s="1">
        <v>0.31819999999999998</v>
      </c>
      <c r="R60" s="1">
        <v>-0.45879999999999999</v>
      </c>
      <c r="S60" s="1">
        <v>1.6899999999999998E-2</v>
      </c>
      <c r="T60" s="1">
        <v>1.8728</v>
      </c>
      <c r="U60" s="1">
        <v>2.8327</v>
      </c>
      <c r="V60" s="1">
        <v>1.9461999999999999</v>
      </c>
      <c r="W60" s="1">
        <v>100.4</v>
      </c>
      <c r="X60" s="1">
        <v>1</v>
      </c>
      <c r="Y60" s="1">
        <v>1.4550000000000001</v>
      </c>
      <c r="Z60" s="1"/>
      <c r="AA60" s="1">
        <v>0.24310000000000001</v>
      </c>
      <c r="AB60" s="1">
        <v>-0.2787</v>
      </c>
      <c r="AC60" s="1">
        <v>0.21360000000000001</v>
      </c>
      <c r="AD60" s="1">
        <v>4.0540000000000003</v>
      </c>
      <c r="AE60" s="1">
        <v>5.1780999999999997</v>
      </c>
      <c r="AF60" s="1">
        <v>2.3056000000000001</v>
      </c>
    </row>
    <row r="61" spans="1:32" ht="11.25" x14ac:dyDescent="0.2">
      <c r="A61" s="1">
        <v>45</v>
      </c>
      <c r="B61" s="1">
        <v>1</v>
      </c>
      <c r="C61" s="1">
        <v>25.1</v>
      </c>
      <c r="D61" s="1">
        <v>1</v>
      </c>
      <c r="E61" s="1">
        <v>2.0451999999999999</v>
      </c>
      <c r="F61" s="1">
        <v>0.78069999999999995</v>
      </c>
      <c r="G61" s="1">
        <v>0.39529999999999998</v>
      </c>
      <c r="H61" s="1">
        <v>-0.42320000000000002</v>
      </c>
      <c r="I61" s="1">
        <v>8.9999999999999998E-4</v>
      </c>
      <c r="J61" s="1">
        <v>3.6036000000000001</v>
      </c>
      <c r="K61" s="1">
        <v>3.8327</v>
      </c>
      <c r="L61" s="1">
        <v>2.0152000000000001</v>
      </c>
      <c r="M61" s="1">
        <v>-55.1</v>
      </c>
      <c r="N61" s="1">
        <v>1</v>
      </c>
      <c r="O61" s="1">
        <v>2.4965000000000002</v>
      </c>
      <c r="P61" s="1">
        <v>0.89990000000000003</v>
      </c>
      <c r="Q61" s="1">
        <v>0.29820000000000002</v>
      </c>
      <c r="R61" s="1">
        <v>-0.44429999999999997</v>
      </c>
      <c r="S61" s="1">
        <v>1.7100000000000001E-2</v>
      </c>
      <c r="T61" s="1">
        <v>1.7988999999999999</v>
      </c>
      <c r="U61" s="1">
        <v>2.7313999999999998</v>
      </c>
      <c r="V61" s="1">
        <v>1.8445</v>
      </c>
      <c r="W61" s="1">
        <v>100.4</v>
      </c>
      <c r="X61" s="1">
        <v>1</v>
      </c>
      <c r="Y61" s="1">
        <v>1.5277000000000001</v>
      </c>
      <c r="Z61" s="1"/>
      <c r="AA61" s="1">
        <v>0.4269</v>
      </c>
      <c r="AB61" s="1">
        <v>-0.41589999999999999</v>
      </c>
      <c r="AC61" s="1">
        <v>0.19089999999999999</v>
      </c>
      <c r="AD61" s="1">
        <v>3.9156</v>
      </c>
      <c r="AE61" s="1">
        <v>5.0407999999999999</v>
      </c>
      <c r="AF61" s="1">
        <v>2.1882000000000001</v>
      </c>
    </row>
    <row r="62" spans="1:32" ht="11.25" x14ac:dyDescent="0.2">
      <c r="A62" s="1">
        <v>46</v>
      </c>
      <c r="B62" s="1">
        <v>1</v>
      </c>
      <c r="C62" s="1">
        <v>25</v>
      </c>
      <c r="D62" s="1">
        <v>1</v>
      </c>
      <c r="E62" s="1">
        <v>2.0825999999999998</v>
      </c>
      <c r="F62" s="1">
        <v>0.78469999999999995</v>
      </c>
      <c r="G62" s="1">
        <v>0.2525</v>
      </c>
      <c r="H62" s="1">
        <v>-0.26240000000000002</v>
      </c>
      <c r="I62" s="1">
        <v>8.0000000000000004E-4</v>
      </c>
      <c r="J62" s="1">
        <v>3.5615000000000001</v>
      </c>
      <c r="K62" s="1">
        <v>3.8418999999999999</v>
      </c>
      <c r="L62" s="1">
        <v>1.9012</v>
      </c>
      <c r="M62" s="1">
        <v>-55.1</v>
      </c>
      <c r="N62" s="1">
        <v>1</v>
      </c>
      <c r="O62" s="1">
        <v>2.5124</v>
      </c>
      <c r="P62" s="1">
        <v>0.90110000000000001</v>
      </c>
      <c r="Q62" s="1">
        <v>0.18179999999999999</v>
      </c>
      <c r="R62" s="1">
        <v>-0.38529999999999998</v>
      </c>
      <c r="S62" s="1">
        <v>1.6500000000000001E-2</v>
      </c>
      <c r="T62" s="1">
        <v>1.7887999999999999</v>
      </c>
      <c r="U62" s="1">
        <v>2.7932999999999999</v>
      </c>
      <c r="V62" s="1">
        <v>1.734</v>
      </c>
      <c r="W62" s="1">
        <v>100.8</v>
      </c>
      <c r="X62" s="1">
        <v>1</v>
      </c>
      <c r="Y62" s="1">
        <v>1.5804</v>
      </c>
      <c r="Z62" s="1"/>
      <c r="AA62" s="1">
        <v>0.21360000000000001</v>
      </c>
      <c r="AB62" s="1">
        <v>-0.318</v>
      </c>
      <c r="AC62" s="1">
        <v>0.17829999999999999</v>
      </c>
      <c r="AD62" s="1">
        <v>3.7953000000000001</v>
      </c>
      <c r="AE62" s="1">
        <v>5.0208000000000004</v>
      </c>
      <c r="AF62" s="1">
        <v>2.0687000000000002</v>
      </c>
    </row>
    <row r="63" spans="1:32" ht="11.25" x14ac:dyDescent="0.2">
      <c r="A63" s="1">
        <v>47</v>
      </c>
      <c r="B63" s="1">
        <v>1</v>
      </c>
      <c r="C63" s="1">
        <v>25</v>
      </c>
      <c r="D63" s="1">
        <v>1</v>
      </c>
      <c r="E63" s="1">
        <v>2.0333000000000001</v>
      </c>
      <c r="F63" s="1">
        <v>0.77680000000000005</v>
      </c>
      <c r="G63" s="1">
        <v>0.182</v>
      </c>
      <c r="H63" s="1">
        <v>-0.2278</v>
      </c>
      <c r="I63" s="1">
        <v>6.9999999999999999E-4</v>
      </c>
      <c r="J63" s="1">
        <v>3.5158</v>
      </c>
      <c r="K63" s="1">
        <v>3.7728000000000002</v>
      </c>
      <c r="L63" s="1">
        <v>2.2107999999999999</v>
      </c>
      <c r="M63" s="1">
        <v>-55.1</v>
      </c>
      <c r="N63" s="1">
        <v>1</v>
      </c>
      <c r="O63" s="1">
        <v>2.4752000000000001</v>
      </c>
      <c r="P63" s="1">
        <v>0.89639999999999997</v>
      </c>
      <c r="Q63" s="1">
        <v>0.16470000000000001</v>
      </c>
      <c r="R63" s="1">
        <v>-0.27610000000000001</v>
      </c>
      <c r="S63" s="1">
        <v>1.6199999999999999E-2</v>
      </c>
      <c r="T63" s="1">
        <v>1.8290999999999999</v>
      </c>
      <c r="U63" s="1">
        <v>2.7016</v>
      </c>
      <c r="V63" s="1">
        <v>2.0333000000000001</v>
      </c>
      <c r="W63" s="1">
        <v>100.7</v>
      </c>
      <c r="X63" s="1">
        <v>1</v>
      </c>
      <c r="Y63" s="1">
        <v>1.5174000000000001</v>
      </c>
      <c r="Z63" s="1"/>
      <c r="AA63" s="1">
        <v>0.40360000000000001</v>
      </c>
      <c r="AB63" s="1">
        <v>-0.34410000000000002</v>
      </c>
      <c r="AC63" s="1">
        <v>0.2011</v>
      </c>
      <c r="AD63" s="1">
        <v>3.8868</v>
      </c>
      <c r="AE63" s="1">
        <v>4.9715999999999996</v>
      </c>
      <c r="AF63" s="1">
        <v>2.395</v>
      </c>
    </row>
    <row r="64" spans="1:32" ht="11.25" x14ac:dyDescent="0.2">
      <c r="A64" s="1">
        <v>48</v>
      </c>
      <c r="B64" s="1">
        <v>1</v>
      </c>
      <c r="C64" s="1">
        <v>25.2</v>
      </c>
      <c r="D64" s="1">
        <v>1</v>
      </c>
      <c r="E64" s="1">
        <v>1.9406000000000001</v>
      </c>
      <c r="F64" s="1">
        <v>0.77629999999999999</v>
      </c>
      <c r="G64" s="1">
        <v>0.1933</v>
      </c>
      <c r="H64" s="1">
        <v>-0.32519999999999999</v>
      </c>
      <c r="I64" s="1">
        <v>5.9999999999999995E-4</v>
      </c>
      <c r="J64" s="1">
        <v>3.6379000000000001</v>
      </c>
      <c r="K64" s="1">
        <v>3.7726000000000002</v>
      </c>
      <c r="L64" s="1">
        <v>2.2900999999999998</v>
      </c>
      <c r="M64" s="1">
        <v>-55.2</v>
      </c>
      <c r="N64" s="1">
        <v>1</v>
      </c>
      <c r="O64" s="1">
        <v>2.3671000000000002</v>
      </c>
      <c r="P64" s="1">
        <v>0.89759999999999995</v>
      </c>
      <c r="Q64" s="1">
        <v>0.40279999999999999</v>
      </c>
      <c r="R64" s="1">
        <v>-0.40300000000000002</v>
      </c>
      <c r="S64" s="1">
        <v>1.7600000000000001E-2</v>
      </c>
      <c r="T64" s="1">
        <v>1.8569</v>
      </c>
      <c r="U64" s="1">
        <v>2.7149000000000001</v>
      </c>
      <c r="V64" s="1">
        <v>2.1128999999999998</v>
      </c>
      <c r="W64" s="1">
        <v>100.5</v>
      </c>
      <c r="X64" s="1">
        <v>1</v>
      </c>
      <c r="Y64" s="1">
        <v>1.4320999999999999</v>
      </c>
      <c r="Z64" s="1"/>
      <c r="AA64" s="1">
        <v>0.25340000000000001</v>
      </c>
      <c r="AB64" s="1">
        <v>-0.39439999999999997</v>
      </c>
      <c r="AC64" s="1">
        <v>0.224</v>
      </c>
      <c r="AD64" s="1">
        <v>3.9622000000000002</v>
      </c>
      <c r="AE64" s="1">
        <v>4.9786999999999999</v>
      </c>
      <c r="AF64" s="1">
        <v>2.4971999999999999</v>
      </c>
    </row>
    <row r="65" spans="1:32" ht="11.25" x14ac:dyDescent="0.2">
      <c r="A65" s="1">
        <v>49</v>
      </c>
      <c r="B65" s="1">
        <v>1</v>
      </c>
      <c r="C65" s="1">
        <v>25</v>
      </c>
      <c r="D65" s="1">
        <v>1</v>
      </c>
      <c r="E65" s="1">
        <v>2.0598000000000001</v>
      </c>
      <c r="F65" s="1">
        <v>0.78269999999999995</v>
      </c>
      <c r="G65" s="1">
        <v>0.3629</v>
      </c>
      <c r="H65" s="1">
        <v>-0.49099999999999999</v>
      </c>
      <c r="I65" s="1">
        <v>6.9999999999999999E-4</v>
      </c>
      <c r="J65" s="1">
        <v>3.5775999999999999</v>
      </c>
      <c r="K65" s="1">
        <v>3.8729</v>
      </c>
      <c r="L65" s="1">
        <v>1.9919</v>
      </c>
      <c r="M65" s="1">
        <v>-55.1</v>
      </c>
      <c r="N65" s="1">
        <v>1</v>
      </c>
      <c r="O65" s="1">
        <v>2.4830000000000001</v>
      </c>
      <c r="P65" s="1">
        <v>0.90059999999999996</v>
      </c>
      <c r="Q65" s="1">
        <v>0.39069999999999999</v>
      </c>
      <c r="R65" s="1">
        <v>-0.46729999999999999</v>
      </c>
      <c r="S65" s="1">
        <v>1.6799999999999999E-2</v>
      </c>
      <c r="T65" s="1">
        <v>1.8491</v>
      </c>
      <c r="U65" s="1">
        <v>2.8094999999999999</v>
      </c>
      <c r="V65" s="1">
        <v>1.8207</v>
      </c>
      <c r="W65" s="1">
        <v>100.6</v>
      </c>
      <c r="X65" s="1">
        <v>1</v>
      </c>
      <c r="Y65" s="1">
        <v>1.5518000000000001</v>
      </c>
      <c r="Z65" s="1"/>
      <c r="AA65" s="1">
        <v>0.32319999999999999</v>
      </c>
      <c r="AB65" s="1">
        <v>-0.2823</v>
      </c>
      <c r="AC65" s="1">
        <v>0.2016</v>
      </c>
      <c r="AD65" s="1">
        <v>3.9222000000000001</v>
      </c>
      <c r="AE65" s="1">
        <v>5.0758999999999999</v>
      </c>
      <c r="AF65" s="1">
        <v>2.1732</v>
      </c>
    </row>
    <row r="66" spans="1:32" ht="11.25" x14ac:dyDescent="0.2">
      <c r="A66" s="1">
        <v>50</v>
      </c>
      <c r="B66" s="1">
        <v>1</v>
      </c>
      <c r="C66" s="1">
        <v>25</v>
      </c>
      <c r="D66" s="1">
        <v>1</v>
      </c>
      <c r="E66" s="1">
        <v>2.0628000000000002</v>
      </c>
      <c r="F66" s="1">
        <v>0.78280000000000005</v>
      </c>
      <c r="G66" s="1">
        <v>0.36969999999999997</v>
      </c>
      <c r="H66" s="1">
        <v>-0.3347</v>
      </c>
      <c r="I66" s="1">
        <v>1E-3</v>
      </c>
      <c r="J66" s="1">
        <v>3.4607000000000001</v>
      </c>
      <c r="K66" s="1">
        <v>3.7313999999999998</v>
      </c>
      <c r="L66" s="1">
        <v>1.7943</v>
      </c>
      <c r="M66" s="1">
        <v>-55</v>
      </c>
      <c r="N66" s="1">
        <v>1</v>
      </c>
      <c r="O66" s="1">
        <v>2.5021</v>
      </c>
      <c r="P66" s="1">
        <v>0.90090000000000003</v>
      </c>
      <c r="Q66" s="1">
        <v>0.34699999999999998</v>
      </c>
      <c r="R66" s="1">
        <v>-0.29330000000000001</v>
      </c>
      <c r="S66" s="1">
        <v>1.67E-2</v>
      </c>
      <c r="T66" s="1">
        <v>1.8218000000000001</v>
      </c>
      <c r="U66" s="1">
        <v>2.6779000000000002</v>
      </c>
      <c r="V66" s="1">
        <v>1.6323000000000001</v>
      </c>
      <c r="W66" s="1">
        <v>101</v>
      </c>
      <c r="X66" s="1">
        <v>1</v>
      </c>
      <c r="Y66" s="1">
        <v>1.5363</v>
      </c>
      <c r="Z66" s="1"/>
      <c r="AA66" s="1">
        <v>0.44230000000000003</v>
      </c>
      <c r="AB66" s="1">
        <v>-0.50839999999999996</v>
      </c>
      <c r="AC66" s="1">
        <v>0.22450000000000001</v>
      </c>
      <c r="AD66" s="1">
        <v>3.7875999999999999</v>
      </c>
      <c r="AE66" s="1">
        <v>4.9433999999999996</v>
      </c>
      <c r="AF66" s="1">
        <v>1.9697</v>
      </c>
    </row>
    <row r="67" spans="1:32" ht="11.25" x14ac:dyDescent="0.2">
      <c r="A67" s="1">
        <v>51</v>
      </c>
      <c r="B67" s="1">
        <v>1</v>
      </c>
      <c r="C67" s="1">
        <v>25.5</v>
      </c>
      <c r="D67" s="1">
        <v>1</v>
      </c>
      <c r="E67" s="1">
        <v>2.0059</v>
      </c>
      <c r="F67" s="1">
        <v>0.7762</v>
      </c>
      <c r="G67" s="1">
        <v>0.38879999999999998</v>
      </c>
      <c r="H67" s="1">
        <v>-0.44800000000000001</v>
      </c>
      <c r="I67" s="1">
        <v>8.0000000000000004E-4</v>
      </c>
      <c r="J67" s="1">
        <v>2.9983</v>
      </c>
      <c r="K67" s="1">
        <v>3.8974000000000002</v>
      </c>
      <c r="L67" s="1">
        <v>2.2928999999999999</v>
      </c>
      <c r="M67" s="1">
        <v>-55.1</v>
      </c>
      <c r="N67" s="1">
        <v>1</v>
      </c>
      <c r="O67" s="1">
        <v>2.4312999999999998</v>
      </c>
      <c r="P67" s="1">
        <v>0.89510000000000001</v>
      </c>
      <c r="Q67" s="1">
        <v>0.32119999999999999</v>
      </c>
      <c r="R67" s="1">
        <v>-0.45889999999999997</v>
      </c>
      <c r="S67" s="1">
        <v>1.66E-2</v>
      </c>
      <c r="T67" s="1">
        <v>1.9329000000000001</v>
      </c>
      <c r="U67" s="1">
        <v>2.7964000000000002</v>
      </c>
      <c r="V67" s="1">
        <v>2.1160000000000001</v>
      </c>
      <c r="W67" s="1">
        <v>99.9</v>
      </c>
      <c r="X67" s="1">
        <v>1</v>
      </c>
      <c r="Y67" s="1">
        <v>1.5138</v>
      </c>
      <c r="Z67" s="1"/>
      <c r="AA67" s="1">
        <v>0.19109999999999999</v>
      </c>
      <c r="AB67" s="1">
        <v>-0.29920000000000002</v>
      </c>
      <c r="AC67" s="1">
        <v>0.18440000000000001</v>
      </c>
      <c r="AD67" s="1">
        <v>4.0034000000000001</v>
      </c>
      <c r="AE67" s="1">
        <v>5.0709</v>
      </c>
      <c r="AF67" s="1">
        <v>2.4763999999999999</v>
      </c>
    </row>
    <row r="68" spans="1:32" ht="11.25" x14ac:dyDescent="0.2">
      <c r="A68" s="1">
        <v>52</v>
      </c>
      <c r="B68" s="1">
        <v>1</v>
      </c>
      <c r="C68" s="1">
        <v>24.9</v>
      </c>
      <c r="D68" s="1">
        <v>1</v>
      </c>
      <c r="E68" s="1">
        <v>2.0247000000000002</v>
      </c>
      <c r="F68" s="1">
        <v>0.78649999999999998</v>
      </c>
      <c r="G68" s="1">
        <v>0.192</v>
      </c>
      <c r="H68" s="1">
        <v>-0.2661</v>
      </c>
      <c r="I68" s="1">
        <v>1E-3</v>
      </c>
      <c r="J68" s="1">
        <v>3.5198</v>
      </c>
      <c r="K68" s="1">
        <v>4.2910000000000004</v>
      </c>
      <c r="L68" s="1">
        <v>1.9878</v>
      </c>
      <c r="M68" s="1">
        <v>-55</v>
      </c>
      <c r="N68" s="1">
        <v>1</v>
      </c>
      <c r="O68" s="1">
        <v>2.4485999999999999</v>
      </c>
      <c r="P68" s="1">
        <v>0.9032</v>
      </c>
      <c r="Q68" s="1">
        <v>0.17230000000000001</v>
      </c>
      <c r="R68" s="1">
        <v>-0.24909999999999999</v>
      </c>
      <c r="S68" s="1">
        <v>1.6299999999999999E-2</v>
      </c>
      <c r="T68" s="1">
        <v>1.8218000000000001</v>
      </c>
      <c r="U68" s="1">
        <v>3.2881</v>
      </c>
      <c r="V68" s="1">
        <v>1.8194999999999999</v>
      </c>
      <c r="W68" s="1">
        <v>100.7</v>
      </c>
      <c r="X68" s="1">
        <v>1</v>
      </c>
      <c r="Y68" s="1">
        <v>1.5325</v>
      </c>
      <c r="Z68" s="1"/>
      <c r="AA68" s="1">
        <v>0.39429999999999998</v>
      </c>
      <c r="AB68" s="1">
        <v>-0.51670000000000005</v>
      </c>
      <c r="AC68" s="1">
        <v>0.16739999999999999</v>
      </c>
      <c r="AD68" s="1">
        <v>3.8412000000000002</v>
      </c>
      <c r="AE68" s="1">
        <v>5.3994</v>
      </c>
      <c r="AF68" s="1">
        <v>2.1623999999999999</v>
      </c>
    </row>
    <row r="69" spans="1:32" ht="11.25" x14ac:dyDescent="0.2">
      <c r="A69" s="1">
        <v>53</v>
      </c>
      <c r="B69" s="1">
        <v>1</v>
      </c>
      <c r="C69" s="1">
        <v>24.9</v>
      </c>
      <c r="D69" s="1">
        <v>1</v>
      </c>
      <c r="E69" s="1">
        <v>1.9756</v>
      </c>
      <c r="F69" s="1">
        <v>0.77429999999999999</v>
      </c>
      <c r="G69" s="1">
        <v>0.2707</v>
      </c>
      <c r="H69" s="1">
        <v>-0.26569999999999999</v>
      </c>
      <c r="I69" s="1">
        <v>8.9999999999999998E-4</v>
      </c>
      <c r="J69" s="1">
        <v>3.5059</v>
      </c>
      <c r="K69" s="1">
        <v>3.7084000000000001</v>
      </c>
      <c r="L69" s="1">
        <v>2.2183999999999999</v>
      </c>
      <c r="M69" s="1">
        <v>-55</v>
      </c>
      <c r="N69" s="1">
        <v>1</v>
      </c>
      <c r="O69" s="1">
        <v>2.3940000000000001</v>
      </c>
      <c r="P69" s="1">
        <v>0.89249999999999996</v>
      </c>
      <c r="Q69" s="1">
        <v>0.19650000000000001</v>
      </c>
      <c r="R69" s="1">
        <v>-0.27229999999999999</v>
      </c>
      <c r="S69" s="1">
        <v>1.66E-2</v>
      </c>
      <c r="T69" s="1">
        <v>1.7484</v>
      </c>
      <c r="U69" s="1">
        <v>2.6118000000000001</v>
      </c>
      <c r="V69" s="1">
        <v>2.0428999999999999</v>
      </c>
      <c r="W69" s="1">
        <v>100.9</v>
      </c>
      <c r="X69" s="1">
        <v>1</v>
      </c>
      <c r="Y69" s="1">
        <v>1.4883999999999999</v>
      </c>
      <c r="Z69" s="1"/>
      <c r="AA69" s="1">
        <v>0.26440000000000002</v>
      </c>
      <c r="AB69" s="1">
        <v>-0.40410000000000001</v>
      </c>
      <c r="AC69" s="1">
        <v>0.18770000000000001</v>
      </c>
      <c r="AD69" s="1">
        <v>3.8391000000000002</v>
      </c>
      <c r="AE69" s="1">
        <v>4.9093</v>
      </c>
      <c r="AF69" s="1">
        <v>2.3978000000000002</v>
      </c>
    </row>
    <row r="70" spans="1:32" ht="11.25" x14ac:dyDescent="0.2">
      <c r="A70" s="1">
        <v>54</v>
      </c>
      <c r="B70" s="1">
        <v>1</v>
      </c>
      <c r="C70" s="1">
        <v>25</v>
      </c>
      <c r="D70" s="1">
        <v>1</v>
      </c>
      <c r="E70" s="1">
        <v>1.9948999999999999</v>
      </c>
      <c r="F70" s="1">
        <v>0.77939999999999998</v>
      </c>
      <c r="G70" s="1">
        <v>0.37080000000000002</v>
      </c>
      <c r="H70" s="1">
        <v>-0.36820000000000003</v>
      </c>
      <c r="I70" s="1">
        <v>8.0000000000000004E-4</v>
      </c>
      <c r="J70" s="1">
        <v>3.5442</v>
      </c>
      <c r="K70" s="1">
        <v>3.8018999999999998</v>
      </c>
      <c r="L70" s="1">
        <v>2.1038999999999999</v>
      </c>
      <c r="M70" s="1">
        <v>-55.1</v>
      </c>
      <c r="N70" s="1">
        <v>1</v>
      </c>
      <c r="O70" s="1">
        <v>2.4047000000000001</v>
      </c>
      <c r="P70" s="1">
        <v>0.89770000000000005</v>
      </c>
      <c r="Q70" s="1">
        <v>0.30320000000000003</v>
      </c>
      <c r="R70" s="1">
        <v>-0.44390000000000002</v>
      </c>
      <c r="S70" s="1">
        <v>1.7100000000000001E-2</v>
      </c>
      <c r="T70" s="1">
        <v>1.7966</v>
      </c>
      <c r="U70" s="1">
        <v>2.6732999999999998</v>
      </c>
      <c r="V70" s="1">
        <v>1.9307000000000001</v>
      </c>
      <c r="W70" s="1">
        <v>100.8</v>
      </c>
      <c r="X70" s="1">
        <v>1</v>
      </c>
      <c r="Y70" s="1">
        <v>1.5039</v>
      </c>
      <c r="Z70" s="1"/>
      <c r="AA70" s="1">
        <v>0.23180000000000001</v>
      </c>
      <c r="AB70" s="1">
        <v>-0.27410000000000001</v>
      </c>
      <c r="AC70" s="1">
        <v>0.1847</v>
      </c>
      <c r="AD70" s="1">
        <v>3.8879000000000001</v>
      </c>
      <c r="AE70" s="1">
        <v>4.9223999999999997</v>
      </c>
      <c r="AF70" s="1">
        <v>2.2928999999999999</v>
      </c>
    </row>
    <row r="71" spans="1:32" ht="11.25" x14ac:dyDescent="0.2">
      <c r="A71" s="1">
        <v>55</v>
      </c>
      <c r="B71" s="1">
        <v>1</v>
      </c>
      <c r="C71" s="1">
        <v>25</v>
      </c>
      <c r="D71" s="1">
        <v>1</v>
      </c>
      <c r="E71" s="1">
        <v>1.9616</v>
      </c>
      <c r="F71" s="1">
        <v>0.77729999999999999</v>
      </c>
      <c r="G71" s="1">
        <v>0.40329999999999999</v>
      </c>
      <c r="H71" s="1">
        <v>-0.47749999999999998</v>
      </c>
      <c r="I71" s="1">
        <v>1.1000000000000001E-3</v>
      </c>
      <c r="J71" s="1">
        <v>3.5457999999999998</v>
      </c>
      <c r="K71" s="1">
        <v>3.7810999999999999</v>
      </c>
      <c r="L71" s="1">
        <v>2.0697999999999999</v>
      </c>
      <c r="M71" s="1">
        <v>-55.2</v>
      </c>
      <c r="N71" s="1">
        <v>1</v>
      </c>
      <c r="O71" s="1">
        <v>2.3891</v>
      </c>
      <c r="P71" s="1">
        <v>0.89639999999999997</v>
      </c>
      <c r="Q71" s="1">
        <v>0.17610000000000001</v>
      </c>
      <c r="R71" s="1">
        <v>-0.31059999999999999</v>
      </c>
      <c r="S71" s="1">
        <v>1.66E-2</v>
      </c>
      <c r="T71" s="1">
        <v>1.8279000000000001</v>
      </c>
      <c r="U71" s="1">
        <v>2.7002000000000002</v>
      </c>
      <c r="V71" s="1">
        <v>1.8964000000000001</v>
      </c>
      <c r="W71" s="1">
        <v>100.8</v>
      </c>
      <c r="X71" s="1">
        <v>1</v>
      </c>
      <c r="Y71" s="1">
        <v>1.4739</v>
      </c>
      <c r="Z71" s="1"/>
      <c r="AA71" s="1">
        <v>0.35770000000000002</v>
      </c>
      <c r="AB71" s="1">
        <v>-0.3337</v>
      </c>
      <c r="AC71" s="1">
        <v>0.18609999999999999</v>
      </c>
      <c r="AD71" s="1">
        <v>3.8597999999999999</v>
      </c>
      <c r="AE71" s="1">
        <v>4.9261999999999997</v>
      </c>
      <c r="AF71" s="1">
        <v>2.2446999999999999</v>
      </c>
    </row>
    <row r="72" spans="1:32" ht="11.25" x14ac:dyDescent="0.2">
      <c r="A72" s="1">
        <v>56</v>
      </c>
      <c r="B72" s="1">
        <v>1</v>
      </c>
      <c r="C72" s="1">
        <v>25.1</v>
      </c>
      <c r="D72" s="1">
        <v>1</v>
      </c>
      <c r="E72" s="1">
        <v>2.1617999999999999</v>
      </c>
      <c r="F72" s="1">
        <v>0.78900000000000003</v>
      </c>
      <c r="G72" s="1">
        <v>0.2331</v>
      </c>
      <c r="H72" s="1">
        <v>-0.23860000000000001</v>
      </c>
      <c r="I72" s="1">
        <v>1.1999999999999999E-3</v>
      </c>
      <c r="J72" s="1">
        <v>3.6164999999999998</v>
      </c>
      <c r="K72" s="1">
        <v>4.0233999999999996</v>
      </c>
      <c r="L72" s="1">
        <v>1.7210000000000001</v>
      </c>
      <c r="M72" s="1">
        <v>-55.1</v>
      </c>
      <c r="N72" s="1">
        <v>1</v>
      </c>
      <c r="O72" s="1">
        <v>2.6065999999999998</v>
      </c>
      <c r="P72" s="1">
        <v>0.90490000000000004</v>
      </c>
      <c r="Q72" s="1">
        <v>0.39710000000000001</v>
      </c>
      <c r="R72" s="1">
        <v>-0.45379999999999998</v>
      </c>
      <c r="S72" s="1">
        <v>1.6E-2</v>
      </c>
      <c r="T72" s="1">
        <v>1.8473999999999999</v>
      </c>
      <c r="U72" s="1">
        <v>2.9872000000000001</v>
      </c>
      <c r="V72" s="1">
        <v>1.5584</v>
      </c>
      <c r="W72" s="1">
        <v>100.8</v>
      </c>
      <c r="X72" s="1">
        <v>1</v>
      </c>
      <c r="Y72" s="1">
        <v>1.6254</v>
      </c>
      <c r="Z72" s="1"/>
      <c r="AA72" s="1">
        <v>0.43919999999999998</v>
      </c>
      <c r="AB72" s="1">
        <v>-0.43980000000000002</v>
      </c>
      <c r="AC72" s="1">
        <v>0.20960000000000001</v>
      </c>
      <c r="AD72" s="1">
        <v>3.8755000000000002</v>
      </c>
      <c r="AE72" s="1">
        <v>5.1079999999999997</v>
      </c>
      <c r="AF72" s="1">
        <v>1.8928</v>
      </c>
    </row>
    <row r="73" spans="1:32" ht="11.25" x14ac:dyDescent="0.2">
      <c r="A73" s="1">
        <v>57</v>
      </c>
      <c r="B73" s="1">
        <v>1</v>
      </c>
      <c r="C73" s="1">
        <v>25.1</v>
      </c>
      <c r="D73" s="1">
        <v>1</v>
      </c>
      <c r="E73" s="1">
        <v>2.2522000000000002</v>
      </c>
      <c r="F73" s="1">
        <v>0.79110000000000003</v>
      </c>
      <c r="G73" s="1">
        <v>0.34689999999999999</v>
      </c>
      <c r="H73" s="1">
        <v>-0.46610000000000001</v>
      </c>
      <c r="I73" s="1">
        <v>1.1999999999999999E-3</v>
      </c>
      <c r="J73" s="1">
        <v>3.5228000000000002</v>
      </c>
      <c r="K73" s="1">
        <v>3.9902000000000002</v>
      </c>
      <c r="L73" s="1">
        <v>1.6545000000000001</v>
      </c>
      <c r="M73" s="1">
        <v>-55</v>
      </c>
      <c r="N73" s="1">
        <v>1</v>
      </c>
      <c r="O73" s="1">
        <v>2.7153999999999998</v>
      </c>
      <c r="P73" s="1">
        <v>0.90639999999999998</v>
      </c>
      <c r="Q73" s="1">
        <v>0.23649999999999999</v>
      </c>
      <c r="R73" s="1">
        <v>-0.38</v>
      </c>
      <c r="S73" s="1">
        <v>1.6500000000000001E-2</v>
      </c>
      <c r="T73" s="1">
        <v>1.8788</v>
      </c>
      <c r="U73" s="1">
        <v>2.9691000000000001</v>
      </c>
      <c r="V73" s="1">
        <v>1.4978</v>
      </c>
      <c r="W73" s="1">
        <v>100.6</v>
      </c>
      <c r="X73" s="1">
        <v>1</v>
      </c>
      <c r="Y73" s="1">
        <v>1.6910000000000001</v>
      </c>
      <c r="Z73" s="1"/>
      <c r="AA73" s="1">
        <v>0.39589999999999997</v>
      </c>
      <c r="AB73" s="1">
        <v>-0.4894</v>
      </c>
      <c r="AC73" s="1">
        <v>0.2011</v>
      </c>
      <c r="AD73" s="1">
        <v>3.7730000000000001</v>
      </c>
      <c r="AE73" s="1">
        <v>5.1196000000000002</v>
      </c>
      <c r="AF73" s="1">
        <v>1.7905</v>
      </c>
    </row>
    <row r="74" spans="1:32" ht="11.25" x14ac:dyDescent="0.2">
      <c r="A74" s="1">
        <v>58</v>
      </c>
      <c r="B74" s="1">
        <v>1</v>
      </c>
      <c r="C74" s="1">
        <v>25</v>
      </c>
      <c r="D74" s="1">
        <v>1</v>
      </c>
      <c r="E74" s="1">
        <v>2.0230999999999999</v>
      </c>
      <c r="F74" s="1">
        <v>0.77649999999999997</v>
      </c>
      <c r="G74" s="1">
        <v>0.24859999999999999</v>
      </c>
      <c r="H74" s="1">
        <v>-0.44230000000000003</v>
      </c>
      <c r="I74" s="1">
        <v>8.9999999999999998E-4</v>
      </c>
      <c r="J74" s="1">
        <v>3.4998</v>
      </c>
      <c r="K74" s="1">
        <v>3.7395999999999998</v>
      </c>
      <c r="L74" s="1">
        <v>2.2004000000000001</v>
      </c>
      <c r="M74" s="1">
        <v>-55.2</v>
      </c>
      <c r="N74" s="1">
        <v>1</v>
      </c>
      <c r="O74" s="1">
        <v>2.4592999999999998</v>
      </c>
      <c r="P74" s="1">
        <v>0.89629999999999999</v>
      </c>
      <c r="Q74" s="1">
        <v>0.34610000000000002</v>
      </c>
      <c r="R74" s="1">
        <v>-0.28110000000000002</v>
      </c>
      <c r="S74" s="1">
        <v>1.6899999999999998E-2</v>
      </c>
      <c r="T74" s="1">
        <v>1.8868</v>
      </c>
      <c r="U74" s="1">
        <v>2.6865000000000001</v>
      </c>
      <c r="V74" s="1">
        <v>2.0228000000000002</v>
      </c>
      <c r="W74" s="1">
        <v>100.7</v>
      </c>
      <c r="X74" s="1">
        <v>1</v>
      </c>
      <c r="Y74" s="1">
        <v>1.5154000000000001</v>
      </c>
      <c r="Z74" s="1"/>
      <c r="AA74" s="1">
        <v>0.43459999999999999</v>
      </c>
      <c r="AB74" s="1">
        <v>-0.47799999999999998</v>
      </c>
      <c r="AC74" s="1">
        <v>0.2011</v>
      </c>
      <c r="AD74" s="1">
        <v>3.9689999999999999</v>
      </c>
      <c r="AE74" s="1">
        <v>5.0179</v>
      </c>
      <c r="AF74" s="1">
        <v>2.3835000000000002</v>
      </c>
    </row>
    <row r="75" spans="1:32" ht="11.25" x14ac:dyDescent="0.2">
      <c r="A75" s="1">
        <v>59</v>
      </c>
      <c r="B75" s="1">
        <v>1</v>
      </c>
      <c r="C75" s="1">
        <v>25.1</v>
      </c>
      <c r="D75" s="1">
        <v>1</v>
      </c>
      <c r="E75" s="1">
        <v>1.9869000000000001</v>
      </c>
      <c r="F75" s="1">
        <v>0.77839999999999998</v>
      </c>
      <c r="G75" s="1">
        <v>0.3216</v>
      </c>
      <c r="H75" s="1">
        <v>-0.32450000000000001</v>
      </c>
      <c r="I75" s="1">
        <v>6.9999999999999999E-4</v>
      </c>
      <c r="J75" s="1">
        <v>3.6511</v>
      </c>
      <c r="K75" s="1">
        <v>3.8127</v>
      </c>
      <c r="L75" s="1">
        <v>2.1503000000000001</v>
      </c>
      <c r="M75" s="1">
        <v>-55.1</v>
      </c>
      <c r="N75" s="1">
        <v>1</v>
      </c>
      <c r="O75" s="1">
        <v>2.4209000000000001</v>
      </c>
      <c r="P75" s="1">
        <v>0.89759999999999995</v>
      </c>
      <c r="Q75" s="1">
        <v>0.17319999999999999</v>
      </c>
      <c r="R75" s="1">
        <v>-0.35659999999999997</v>
      </c>
      <c r="S75" s="1">
        <v>1.54E-2</v>
      </c>
      <c r="T75" s="1">
        <v>1.9313</v>
      </c>
      <c r="U75" s="1">
        <v>2.7134</v>
      </c>
      <c r="V75" s="1">
        <v>1.9734</v>
      </c>
      <c r="W75" s="1">
        <v>100.8</v>
      </c>
      <c r="X75" s="1">
        <v>1</v>
      </c>
      <c r="Y75" s="1">
        <v>1.4813000000000001</v>
      </c>
      <c r="Z75" s="1"/>
      <c r="AA75" s="1">
        <v>0.38869999999999999</v>
      </c>
      <c r="AB75" s="1">
        <v>-0.39889999999999998</v>
      </c>
      <c r="AC75" s="1">
        <v>0.1933</v>
      </c>
      <c r="AD75" s="1">
        <v>3.9897</v>
      </c>
      <c r="AE75" s="1">
        <v>5.0548000000000002</v>
      </c>
      <c r="AF75" s="1">
        <v>2.3395999999999999</v>
      </c>
    </row>
    <row r="76" spans="1:32" ht="11.25" x14ac:dyDescent="0.2">
      <c r="A76" s="1">
        <v>60</v>
      </c>
      <c r="B76" s="1">
        <v>1</v>
      </c>
      <c r="C76" s="1">
        <v>24.9</v>
      </c>
      <c r="D76" s="1">
        <v>1</v>
      </c>
      <c r="E76" s="1">
        <v>2.0350999999999999</v>
      </c>
      <c r="F76" s="1">
        <v>0.78510000000000002</v>
      </c>
      <c r="G76" s="1">
        <v>0.28689999999999999</v>
      </c>
      <c r="H76" s="1">
        <v>-0.26840000000000003</v>
      </c>
      <c r="I76" s="1">
        <v>5.0000000000000001E-4</v>
      </c>
      <c r="J76" s="1">
        <v>3.6699000000000002</v>
      </c>
      <c r="K76" s="1">
        <v>3.9670000000000001</v>
      </c>
      <c r="L76" s="1">
        <v>1.8893</v>
      </c>
      <c r="M76" s="1">
        <v>-55.1</v>
      </c>
      <c r="N76" s="1">
        <v>1</v>
      </c>
      <c r="O76" s="1">
        <v>2.4683999999999999</v>
      </c>
      <c r="P76" s="1">
        <v>0.90280000000000005</v>
      </c>
      <c r="Q76" s="1">
        <v>0.15260000000000001</v>
      </c>
      <c r="R76" s="1">
        <v>-0.2419</v>
      </c>
      <c r="S76" s="1">
        <v>1.5299999999999999E-2</v>
      </c>
      <c r="T76" s="1">
        <v>1.9187000000000001</v>
      </c>
      <c r="U76" s="1">
        <v>2.8344</v>
      </c>
      <c r="V76" s="1">
        <v>1.7245999999999999</v>
      </c>
      <c r="W76" s="1">
        <v>101</v>
      </c>
      <c r="X76" s="1">
        <v>1</v>
      </c>
      <c r="Y76" s="1">
        <v>1.5219</v>
      </c>
      <c r="Z76" s="1"/>
      <c r="AA76" s="1">
        <v>0.38819999999999999</v>
      </c>
      <c r="AB76" s="1">
        <v>-0.49320000000000003</v>
      </c>
      <c r="AC76" s="1">
        <v>0.18190000000000001</v>
      </c>
      <c r="AD76" s="1">
        <v>3.9417</v>
      </c>
      <c r="AE76" s="1">
        <v>5.1036000000000001</v>
      </c>
      <c r="AF76" s="1">
        <v>2.0543</v>
      </c>
    </row>
    <row r="77" spans="1:32" ht="11.25" x14ac:dyDescent="0.2">
      <c r="A77" s="1">
        <v>61</v>
      </c>
      <c r="B77" s="1">
        <v>1</v>
      </c>
      <c r="C77" s="1">
        <v>25.3</v>
      </c>
      <c r="D77" s="1">
        <v>1</v>
      </c>
      <c r="E77" s="1">
        <v>1.9498</v>
      </c>
      <c r="F77" s="1">
        <v>0.77729999999999999</v>
      </c>
      <c r="G77" s="1">
        <v>0.2797</v>
      </c>
      <c r="H77" s="1">
        <v>-0.26319999999999999</v>
      </c>
      <c r="I77" s="1">
        <v>8.9999999999999998E-4</v>
      </c>
      <c r="J77" s="1">
        <v>3.6221000000000001</v>
      </c>
      <c r="K77" s="1">
        <v>3.7704</v>
      </c>
      <c r="L77" s="1">
        <v>2.1476999999999999</v>
      </c>
      <c r="M77" s="1">
        <v>-55.2</v>
      </c>
      <c r="N77" s="1">
        <v>1</v>
      </c>
      <c r="O77" s="1">
        <v>2.3799000000000001</v>
      </c>
      <c r="P77" s="1">
        <v>0.89710000000000001</v>
      </c>
      <c r="Q77" s="1">
        <v>0.23</v>
      </c>
      <c r="R77" s="1">
        <v>-0.37340000000000001</v>
      </c>
      <c r="S77" s="1">
        <v>1.5699999999999999E-2</v>
      </c>
      <c r="T77" s="1">
        <v>1.8593999999999999</v>
      </c>
      <c r="U77" s="1">
        <v>2.6937000000000002</v>
      </c>
      <c r="V77" s="1">
        <v>1.9715</v>
      </c>
      <c r="W77" s="1">
        <v>101</v>
      </c>
      <c r="X77" s="1">
        <v>1</v>
      </c>
      <c r="Y77" s="1">
        <v>1.4495</v>
      </c>
      <c r="Z77" s="1"/>
      <c r="AA77" s="1">
        <v>0.22720000000000001</v>
      </c>
      <c r="AB77" s="1">
        <v>-0.2646</v>
      </c>
      <c r="AC77" s="1">
        <v>0.2102</v>
      </c>
      <c r="AD77" s="1">
        <v>3.8881999999999999</v>
      </c>
      <c r="AE77" s="1">
        <v>4.9549000000000003</v>
      </c>
      <c r="AF77" s="1">
        <v>2.3268</v>
      </c>
    </row>
    <row r="78" spans="1:32" ht="11.25" x14ac:dyDescent="0.2">
      <c r="A78" s="1">
        <v>62</v>
      </c>
      <c r="B78" s="1">
        <v>1</v>
      </c>
      <c r="C78" s="1">
        <v>25.1</v>
      </c>
      <c r="D78" s="1">
        <v>1</v>
      </c>
      <c r="E78" s="1">
        <v>2.3029999999999999</v>
      </c>
      <c r="F78" s="1">
        <v>0.78839999999999999</v>
      </c>
      <c r="G78" s="1">
        <v>0.3196</v>
      </c>
      <c r="H78" s="1">
        <v>-0.33510000000000001</v>
      </c>
      <c r="I78" s="1">
        <v>1.1999999999999999E-3</v>
      </c>
      <c r="J78" s="1">
        <v>3.2877000000000001</v>
      </c>
      <c r="K78" s="1">
        <v>3.9881000000000002</v>
      </c>
      <c r="L78" s="1">
        <v>1.8824000000000001</v>
      </c>
      <c r="M78" s="1">
        <v>-55.3</v>
      </c>
      <c r="N78" s="1">
        <v>1</v>
      </c>
      <c r="O78" s="1">
        <v>2.7970999999999999</v>
      </c>
      <c r="P78" s="1">
        <v>0.90259999999999996</v>
      </c>
      <c r="Q78" s="1">
        <v>0.34420000000000001</v>
      </c>
      <c r="R78" s="1">
        <v>-0.3175</v>
      </c>
      <c r="S78" s="1">
        <v>1.6299999999999999E-2</v>
      </c>
      <c r="T78" s="1">
        <v>1.7188000000000001</v>
      </c>
      <c r="U78" s="1">
        <v>2.9317000000000002</v>
      </c>
      <c r="V78" s="1">
        <v>1.7171000000000001</v>
      </c>
      <c r="W78" s="1">
        <v>100.2</v>
      </c>
      <c r="X78" s="1">
        <v>1</v>
      </c>
      <c r="Y78" s="1">
        <v>1.7335</v>
      </c>
      <c r="Z78" s="1"/>
      <c r="AA78" s="1">
        <v>0.24010000000000001</v>
      </c>
      <c r="AB78" s="1">
        <v>-0.38990000000000002</v>
      </c>
      <c r="AC78" s="1">
        <v>0.15129999999999999</v>
      </c>
      <c r="AD78" s="1">
        <v>3.6917</v>
      </c>
      <c r="AE78" s="1">
        <v>5.0391000000000004</v>
      </c>
      <c r="AF78" s="1">
        <v>2.0503</v>
      </c>
    </row>
    <row r="79" spans="1:32" ht="11.25" x14ac:dyDescent="0.2">
      <c r="A79" s="1">
        <v>63</v>
      </c>
      <c r="B79" s="1">
        <v>1</v>
      </c>
      <c r="C79" s="1">
        <v>25.1</v>
      </c>
      <c r="D79" s="1">
        <v>1</v>
      </c>
      <c r="E79" s="1">
        <v>1.9175</v>
      </c>
      <c r="F79" s="1">
        <v>0.77649999999999997</v>
      </c>
      <c r="G79" s="1">
        <v>0.39929999999999999</v>
      </c>
      <c r="H79" s="1">
        <v>-0.46929999999999999</v>
      </c>
      <c r="I79" s="1">
        <v>6.9999999999999999E-4</v>
      </c>
      <c r="J79" s="1">
        <v>3.7290999999999999</v>
      </c>
      <c r="K79" s="1">
        <v>3.9251</v>
      </c>
      <c r="L79" s="1">
        <v>2.2829999999999999</v>
      </c>
      <c r="M79" s="1">
        <v>-55.1</v>
      </c>
      <c r="N79" s="1">
        <v>1</v>
      </c>
      <c r="O79" s="1">
        <v>2.3306</v>
      </c>
      <c r="P79" s="1">
        <v>0.8952</v>
      </c>
      <c r="Q79" s="1">
        <v>0.38750000000000001</v>
      </c>
      <c r="R79" s="1">
        <v>-0.46260000000000001</v>
      </c>
      <c r="S79" s="1">
        <v>1.6500000000000001E-2</v>
      </c>
      <c r="T79" s="1">
        <v>1.9387000000000001</v>
      </c>
      <c r="U79" s="1">
        <v>2.8033000000000001</v>
      </c>
      <c r="V79" s="1">
        <v>2.1057999999999999</v>
      </c>
      <c r="W79" s="1">
        <v>100.5</v>
      </c>
      <c r="X79" s="1">
        <v>1</v>
      </c>
      <c r="Y79" s="1">
        <v>1.4357</v>
      </c>
      <c r="Z79" s="1"/>
      <c r="AA79" s="1">
        <v>0.22040000000000001</v>
      </c>
      <c r="AB79" s="1">
        <v>-0.25869999999999999</v>
      </c>
      <c r="AC79" s="1">
        <v>0.18160000000000001</v>
      </c>
      <c r="AD79" s="1">
        <v>4.0445000000000002</v>
      </c>
      <c r="AE79" s="1">
        <v>5.1365999999999996</v>
      </c>
      <c r="AF79" s="1">
        <v>2.4767000000000001</v>
      </c>
    </row>
    <row r="80" spans="1:32" ht="11.25" x14ac:dyDescent="0.2">
      <c r="A80" s="1">
        <v>64</v>
      </c>
      <c r="B80" s="1">
        <v>1</v>
      </c>
      <c r="C80" s="1">
        <v>24.8</v>
      </c>
      <c r="D80" s="1">
        <v>1</v>
      </c>
      <c r="E80" s="1">
        <v>2.0525000000000002</v>
      </c>
      <c r="F80" s="1">
        <v>0.77810000000000001</v>
      </c>
      <c r="G80" s="1">
        <v>0.22309999999999999</v>
      </c>
      <c r="H80" s="1">
        <v>-0.40289999999999998</v>
      </c>
      <c r="I80" s="1">
        <v>8.9999999999999998E-4</v>
      </c>
      <c r="J80" s="1">
        <v>3.4394</v>
      </c>
      <c r="K80" s="1">
        <v>3.7092000000000001</v>
      </c>
      <c r="L80" s="1">
        <v>1.9943</v>
      </c>
      <c r="M80" s="1">
        <v>-55.1</v>
      </c>
      <c r="N80" s="1">
        <v>1</v>
      </c>
      <c r="O80" s="1">
        <v>2.4847999999999999</v>
      </c>
      <c r="P80" s="1">
        <v>0.89649999999999996</v>
      </c>
      <c r="Q80" s="1">
        <v>0.18529999999999999</v>
      </c>
      <c r="R80" s="1">
        <v>-0.2238</v>
      </c>
      <c r="S80" s="1">
        <v>1.67E-2</v>
      </c>
      <c r="T80" s="1">
        <v>1.7591000000000001</v>
      </c>
      <c r="U80" s="1">
        <v>2.6394000000000002</v>
      </c>
      <c r="V80" s="1">
        <v>1.8229</v>
      </c>
      <c r="W80" s="1">
        <v>101.3</v>
      </c>
      <c r="X80" s="1">
        <v>1</v>
      </c>
      <c r="Y80" s="1">
        <v>1.5415000000000001</v>
      </c>
      <c r="Z80" s="1"/>
      <c r="AA80" s="1">
        <v>0.34870000000000001</v>
      </c>
      <c r="AB80" s="1">
        <v>-0.37459999999999999</v>
      </c>
      <c r="AC80" s="1">
        <v>0.19059999999999999</v>
      </c>
      <c r="AD80" s="1">
        <v>3.7534000000000001</v>
      </c>
      <c r="AE80" s="1">
        <v>4.8651</v>
      </c>
      <c r="AF80" s="1">
        <v>2.1669999999999998</v>
      </c>
    </row>
    <row r="81" spans="1:32" ht="11.25" x14ac:dyDescent="0.2">
      <c r="A81" s="1">
        <v>65</v>
      </c>
      <c r="B81" s="1">
        <v>1</v>
      </c>
      <c r="C81" s="1">
        <v>25</v>
      </c>
      <c r="D81" s="1">
        <v>1</v>
      </c>
      <c r="E81" s="1">
        <v>2.1339999999999999</v>
      </c>
      <c r="F81" s="1">
        <v>0.78280000000000005</v>
      </c>
      <c r="G81" s="1">
        <v>0.38440000000000002</v>
      </c>
      <c r="H81" s="1">
        <v>-0.3735</v>
      </c>
      <c r="I81" s="1">
        <v>1.1999999999999999E-3</v>
      </c>
      <c r="J81" s="1">
        <v>3.4157000000000002</v>
      </c>
      <c r="K81" s="1">
        <v>3.8149000000000002</v>
      </c>
      <c r="L81" s="1">
        <v>1.8344</v>
      </c>
      <c r="M81" s="1">
        <v>-55.3</v>
      </c>
      <c r="N81" s="1">
        <v>1</v>
      </c>
      <c r="O81" s="1">
        <v>2.5811000000000002</v>
      </c>
      <c r="P81" s="1">
        <v>0.90059999999999996</v>
      </c>
      <c r="Q81" s="1">
        <v>0.29210000000000003</v>
      </c>
      <c r="R81" s="1">
        <v>-0.26640000000000003</v>
      </c>
      <c r="S81" s="1">
        <v>1.6299999999999999E-2</v>
      </c>
      <c r="T81" s="1">
        <v>1.8021</v>
      </c>
      <c r="U81" s="1">
        <v>2.7454000000000001</v>
      </c>
      <c r="V81" s="1">
        <v>1.669</v>
      </c>
      <c r="W81" s="1">
        <v>100.6</v>
      </c>
      <c r="X81" s="1">
        <v>1</v>
      </c>
      <c r="Y81" s="1">
        <v>1.6039000000000001</v>
      </c>
      <c r="Z81" s="1"/>
      <c r="AA81" s="1">
        <v>0.28960000000000002</v>
      </c>
      <c r="AB81" s="1">
        <v>-0.33510000000000001</v>
      </c>
      <c r="AC81" s="1">
        <v>0.1976</v>
      </c>
      <c r="AD81" s="1">
        <v>3.7639</v>
      </c>
      <c r="AE81" s="1">
        <v>4.9337</v>
      </c>
      <c r="AF81" s="1">
        <v>2.0019999999999998</v>
      </c>
    </row>
    <row r="82" spans="1:32" ht="11.25" x14ac:dyDescent="0.2">
      <c r="A82" s="1">
        <v>66</v>
      </c>
      <c r="B82" s="1">
        <v>1</v>
      </c>
      <c r="C82" s="1">
        <v>25</v>
      </c>
      <c r="D82" s="1">
        <v>1</v>
      </c>
      <c r="E82" s="1">
        <v>2.0392999999999999</v>
      </c>
      <c r="F82" s="1">
        <v>0.78310000000000002</v>
      </c>
      <c r="G82" s="1">
        <v>0.40670000000000001</v>
      </c>
      <c r="H82" s="1">
        <v>-0.42130000000000001</v>
      </c>
      <c r="I82" s="1">
        <v>8.0000000000000004E-4</v>
      </c>
      <c r="J82" s="1">
        <v>3.4923999999999999</v>
      </c>
      <c r="K82" s="1">
        <v>3.7717999999999998</v>
      </c>
      <c r="L82" s="1">
        <v>1.8741000000000001</v>
      </c>
      <c r="M82" s="1">
        <v>-55.1</v>
      </c>
      <c r="N82" s="1">
        <v>1</v>
      </c>
      <c r="O82" s="1">
        <v>2.4689000000000001</v>
      </c>
      <c r="P82" s="1">
        <v>0.90059999999999996</v>
      </c>
      <c r="Q82" s="1">
        <v>0.26200000000000001</v>
      </c>
      <c r="R82" s="1">
        <v>-0.2248</v>
      </c>
      <c r="S82" s="1">
        <v>1.6799999999999999E-2</v>
      </c>
      <c r="T82" s="1">
        <v>1.8097000000000001</v>
      </c>
      <c r="U82" s="1">
        <v>2.6863000000000001</v>
      </c>
      <c r="V82" s="1">
        <v>1.7076</v>
      </c>
      <c r="W82" s="1">
        <v>100.5</v>
      </c>
      <c r="X82" s="1">
        <v>1</v>
      </c>
      <c r="Y82" s="1">
        <v>1.5357000000000001</v>
      </c>
      <c r="Z82" s="1"/>
      <c r="AA82" s="1">
        <v>0.43930000000000002</v>
      </c>
      <c r="AB82" s="1">
        <v>-0.43290000000000001</v>
      </c>
      <c r="AC82" s="1">
        <v>0.17749999999999999</v>
      </c>
      <c r="AD82" s="1">
        <v>3.7711999999999999</v>
      </c>
      <c r="AE82" s="1">
        <v>4.9097999999999997</v>
      </c>
      <c r="AF82" s="1">
        <v>2.0415000000000001</v>
      </c>
    </row>
    <row r="83" spans="1:32" ht="11.25" x14ac:dyDescent="0.2">
      <c r="A83" s="1">
        <v>67</v>
      </c>
      <c r="B83" s="1">
        <v>1</v>
      </c>
      <c r="C83" s="1">
        <v>25.1</v>
      </c>
      <c r="D83" s="1">
        <v>1</v>
      </c>
      <c r="E83" s="1">
        <v>1.9271</v>
      </c>
      <c r="F83" s="1">
        <v>0.77580000000000005</v>
      </c>
      <c r="G83" s="1">
        <v>0.38700000000000001</v>
      </c>
      <c r="H83" s="1">
        <v>-0.46089999999999998</v>
      </c>
      <c r="I83" s="1">
        <v>1.1000000000000001E-3</v>
      </c>
      <c r="J83" s="1">
        <v>3.5259</v>
      </c>
      <c r="K83" s="1">
        <v>3.7789000000000001</v>
      </c>
      <c r="L83" s="1">
        <v>2.3028</v>
      </c>
      <c r="M83" s="1">
        <v>-54.9</v>
      </c>
      <c r="N83" s="1">
        <v>1</v>
      </c>
      <c r="O83" s="1">
        <v>2.3523000000000001</v>
      </c>
      <c r="P83" s="1">
        <v>0.89329999999999998</v>
      </c>
      <c r="Q83" s="1">
        <v>0.39810000000000001</v>
      </c>
      <c r="R83" s="1">
        <v>-0.37980000000000003</v>
      </c>
      <c r="S83" s="1">
        <v>1.6899999999999998E-2</v>
      </c>
      <c r="T83" s="1">
        <v>1.8571</v>
      </c>
      <c r="U83" s="1">
        <v>2.6953999999999998</v>
      </c>
      <c r="V83" s="1">
        <v>2.1284999999999998</v>
      </c>
      <c r="W83" s="1">
        <v>100.8</v>
      </c>
      <c r="X83" s="1">
        <v>1</v>
      </c>
      <c r="Y83" s="1">
        <v>1.4447000000000001</v>
      </c>
      <c r="Z83" s="1"/>
      <c r="AA83" s="1">
        <v>0.2555</v>
      </c>
      <c r="AB83" s="1">
        <v>-0.29120000000000001</v>
      </c>
      <c r="AC83" s="1">
        <v>0.17599999999999999</v>
      </c>
      <c r="AD83" s="1">
        <v>3.8826999999999998</v>
      </c>
      <c r="AE83" s="1">
        <v>4.9508000000000001</v>
      </c>
      <c r="AF83" s="1">
        <v>2.4836</v>
      </c>
    </row>
    <row r="84" spans="1:32" ht="11.25" x14ac:dyDescent="0.2">
      <c r="A84" s="1">
        <v>68</v>
      </c>
      <c r="B84" s="1">
        <v>1</v>
      </c>
      <c r="C84" s="1">
        <v>25</v>
      </c>
      <c r="D84" s="1">
        <v>1</v>
      </c>
      <c r="E84" s="1">
        <v>1.9227000000000001</v>
      </c>
      <c r="F84" s="1">
        <v>0.77439999999999998</v>
      </c>
      <c r="G84" s="1">
        <v>0.38600000000000001</v>
      </c>
      <c r="H84" s="1">
        <v>-0.39450000000000002</v>
      </c>
      <c r="I84" s="1">
        <v>6.9999999999999999E-4</v>
      </c>
      <c r="J84" s="1">
        <v>3.6539000000000001</v>
      </c>
      <c r="K84" s="1">
        <v>3.8010999999999999</v>
      </c>
      <c r="L84" s="1">
        <v>2.3351999999999999</v>
      </c>
      <c r="M84" s="1">
        <v>-55.2</v>
      </c>
      <c r="N84" s="1">
        <v>1</v>
      </c>
      <c r="O84" s="1">
        <v>2.3553999999999999</v>
      </c>
      <c r="P84" s="1">
        <v>0.89580000000000004</v>
      </c>
      <c r="Q84" s="1">
        <v>0.26229999999999998</v>
      </c>
      <c r="R84" s="1">
        <v>-0.2515</v>
      </c>
      <c r="S84" s="1">
        <v>1.6500000000000001E-2</v>
      </c>
      <c r="T84" s="1">
        <v>1.8454999999999999</v>
      </c>
      <c r="U84" s="1">
        <v>2.6579999999999999</v>
      </c>
      <c r="V84" s="1">
        <v>2.1581999999999999</v>
      </c>
      <c r="W84" s="1">
        <v>100.6</v>
      </c>
      <c r="X84" s="1">
        <v>1</v>
      </c>
      <c r="Y84" s="1">
        <v>1.4106000000000001</v>
      </c>
      <c r="Z84" s="1"/>
      <c r="AA84" s="1">
        <v>0.37980000000000003</v>
      </c>
      <c r="AB84" s="1">
        <v>-0.36840000000000001</v>
      </c>
      <c r="AC84" s="1">
        <v>0.23949999999999999</v>
      </c>
      <c r="AD84" s="1">
        <v>3.9561999999999999</v>
      </c>
      <c r="AE84" s="1">
        <v>4.9993999999999996</v>
      </c>
      <c r="AF84" s="1">
        <v>2.5255999999999998</v>
      </c>
    </row>
    <row r="85" spans="1:32" ht="11.25" x14ac:dyDescent="0.2">
      <c r="A85" s="1">
        <v>69</v>
      </c>
      <c r="B85" s="1">
        <v>1</v>
      </c>
      <c r="C85" s="1">
        <v>25.1</v>
      </c>
      <c r="D85" s="1">
        <v>1</v>
      </c>
      <c r="E85" s="1">
        <v>1.9307000000000001</v>
      </c>
      <c r="F85" s="1">
        <v>0.77500000000000002</v>
      </c>
      <c r="G85" s="1">
        <v>0.2427</v>
      </c>
      <c r="H85" s="1">
        <v>-0.42699999999999999</v>
      </c>
      <c r="I85" s="1">
        <v>1E-3</v>
      </c>
      <c r="J85" s="1">
        <v>3.6082999999999998</v>
      </c>
      <c r="K85" s="1">
        <v>3.8037000000000001</v>
      </c>
      <c r="L85" s="1">
        <v>2.3260999999999998</v>
      </c>
      <c r="M85" s="1">
        <v>-55.1</v>
      </c>
      <c r="N85" s="1">
        <v>1</v>
      </c>
      <c r="O85" s="1">
        <v>2.3635000000000002</v>
      </c>
      <c r="P85" s="1">
        <v>0.89600000000000002</v>
      </c>
      <c r="Q85" s="1">
        <v>0.26860000000000001</v>
      </c>
      <c r="R85" s="1">
        <v>-0.2361</v>
      </c>
      <c r="S85" s="1">
        <v>1.5599999999999999E-2</v>
      </c>
      <c r="T85" s="1">
        <v>1.8633999999999999</v>
      </c>
      <c r="U85" s="1">
        <v>2.6745999999999999</v>
      </c>
      <c r="V85" s="1">
        <v>2.1507999999999998</v>
      </c>
      <c r="W85" s="1">
        <v>100.2</v>
      </c>
      <c r="X85" s="1">
        <v>1</v>
      </c>
      <c r="Y85" s="1">
        <v>1.4221999999999999</v>
      </c>
      <c r="Z85" s="1"/>
      <c r="AA85" s="1">
        <v>0.20380000000000001</v>
      </c>
      <c r="AB85" s="1">
        <v>-0.3009</v>
      </c>
      <c r="AC85" s="1">
        <v>0.22570000000000001</v>
      </c>
      <c r="AD85" s="1">
        <v>4.3297999999999996</v>
      </c>
      <c r="AE85" s="1">
        <v>5.0388000000000002</v>
      </c>
      <c r="AF85" s="1">
        <v>2.5152999999999999</v>
      </c>
    </row>
    <row r="86" spans="1:32" ht="11.25" x14ac:dyDescent="0.2">
      <c r="A86" s="1">
        <v>70</v>
      </c>
      <c r="B86" s="1">
        <v>1</v>
      </c>
      <c r="C86" s="1">
        <v>25.1</v>
      </c>
      <c r="D86" s="1">
        <v>1</v>
      </c>
      <c r="E86" s="1">
        <v>1.9714</v>
      </c>
      <c r="F86" s="1">
        <v>0.78259999999999996</v>
      </c>
      <c r="G86" s="1">
        <v>0.36649999999999999</v>
      </c>
      <c r="H86" s="1">
        <v>-0.36940000000000001</v>
      </c>
      <c r="I86" s="1">
        <v>5.9999999999999995E-4</v>
      </c>
      <c r="J86" s="1">
        <v>3.5131999999999999</v>
      </c>
      <c r="K86" s="1">
        <v>3.9003000000000001</v>
      </c>
      <c r="L86" s="1">
        <v>1.8154999999999999</v>
      </c>
      <c r="M86" s="1">
        <v>-55.1</v>
      </c>
      <c r="N86" s="1">
        <v>1</v>
      </c>
      <c r="O86" s="1">
        <v>2.3700999999999999</v>
      </c>
      <c r="P86" s="1">
        <v>0.90049999999999997</v>
      </c>
      <c r="Q86" s="1">
        <v>0.19489999999999999</v>
      </c>
      <c r="R86" s="1">
        <v>-0.2233</v>
      </c>
      <c r="S86" s="1">
        <v>1.6500000000000001E-2</v>
      </c>
      <c r="T86" s="1">
        <v>1.7490000000000001</v>
      </c>
      <c r="U86" s="1">
        <v>2.8571</v>
      </c>
      <c r="V86" s="1">
        <v>1.6516999999999999</v>
      </c>
      <c r="W86" s="1">
        <v>100.2</v>
      </c>
      <c r="X86" s="1">
        <v>1</v>
      </c>
      <c r="Y86" s="1">
        <v>1.5077</v>
      </c>
      <c r="Z86" s="1"/>
      <c r="AA86" s="1">
        <v>0.2555</v>
      </c>
      <c r="AB86" s="1">
        <v>-0.4052</v>
      </c>
      <c r="AC86" s="1">
        <v>0.18890000000000001</v>
      </c>
      <c r="AD86" s="1">
        <v>3.7222</v>
      </c>
      <c r="AE86" s="1">
        <v>5.0507</v>
      </c>
      <c r="AF86" s="1">
        <v>1.9810000000000001</v>
      </c>
    </row>
    <row r="87" spans="1:32" ht="11.25" x14ac:dyDescent="0.2">
      <c r="A87" s="1">
        <v>71</v>
      </c>
      <c r="B87" s="1">
        <v>1</v>
      </c>
      <c r="C87" s="1">
        <v>25</v>
      </c>
      <c r="D87" s="1">
        <v>1</v>
      </c>
      <c r="E87" s="1">
        <v>2.0447000000000002</v>
      </c>
      <c r="F87" s="1">
        <v>0.77869999999999995</v>
      </c>
      <c r="G87" s="1">
        <v>0.30620000000000003</v>
      </c>
      <c r="H87" s="1">
        <v>-0.25330000000000003</v>
      </c>
      <c r="I87" s="1">
        <v>1.1999999999999999E-3</v>
      </c>
      <c r="J87" s="1">
        <v>3.5672000000000001</v>
      </c>
      <c r="K87" s="1">
        <v>3.7517</v>
      </c>
      <c r="L87" s="1">
        <v>2.1092</v>
      </c>
      <c r="M87" s="1">
        <v>-55.2</v>
      </c>
      <c r="N87" s="1">
        <v>1</v>
      </c>
      <c r="O87" s="1">
        <v>2.4767000000000001</v>
      </c>
      <c r="P87" s="1">
        <v>0.89859999999999995</v>
      </c>
      <c r="Q87" s="1">
        <v>0.36959999999999998</v>
      </c>
      <c r="R87" s="1">
        <v>-0.33139999999999997</v>
      </c>
      <c r="S87" s="1">
        <v>1.61E-2</v>
      </c>
      <c r="T87" s="1">
        <v>1.7977000000000001</v>
      </c>
      <c r="U87" s="1">
        <v>2.6749999999999998</v>
      </c>
      <c r="V87" s="1">
        <v>1.9325000000000001</v>
      </c>
      <c r="W87" s="1">
        <v>101</v>
      </c>
      <c r="X87" s="1">
        <v>1</v>
      </c>
      <c r="Y87" s="1">
        <v>1.5206</v>
      </c>
      <c r="Z87" s="1"/>
      <c r="AA87" s="1">
        <v>0.22189999999999999</v>
      </c>
      <c r="AB87" s="1">
        <v>-0.33300000000000002</v>
      </c>
      <c r="AC87" s="1">
        <v>0.22220000000000001</v>
      </c>
      <c r="AD87" s="1">
        <v>3.8704000000000001</v>
      </c>
      <c r="AE87" s="1">
        <v>4.9607999999999999</v>
      </c>
      <c r="AF87" s="1">
        <v>2.2915999999999999</v>
      </c>
    </row>
    <row r="88" spans="1:32" ht="11.25" x14ac:dyDescent="0.2">
      <c r="A88" s="1">
        <v>72</v>
      </c>
      <c r="B88" s="1">
        <v>1</v>
      </c>
      <c r="C88" s="1">
        <v>25.1</v>
      </c>
      <c r="D88" s="1">
        <v>1</v>
      </c>
      <c r="E88" s="1">
        <v>2.0356000000000001</v>
      </c>
      <c r="F88" s="1">
        <v>0.78069999999999995</v>
      </c>
      <c r="G88" s="1">
        <v>0.17100000000000001</v>
      </c>
      <c r="H88" s="1">
        <v>-0.3488</v>
      </c>
      <c r="I88" s="1">
        <v>1E-3</v>
      </c>
      <c r="J88" s="1">
        <v>3.7879</v>
      </c>
      <c r="K88" s="1">
        <v>3.7602000000000002</v>
      </c>
      <c r="L88" s="1">
        <v>2.0653999999999999</v>
      </c>
      <c r="M88" s="1">
        <v>-55</v>
      </c>
      <c r="N88" s="1">
        <v>1</v>
      </c>
      <c r="O88" s="1">
        <v>2.4584000000000001</v>
      </c>
      <c r="P88" s="1">
        <v>0.8992</v>
      </c>
      <c r="Q88" s="1">
        <v>0.17130000000000001</v>
      </c>
      <c r="R88" s="1">
        <v>-0.26790000000000003</v>
      </c>
      <c r="S88" s="1">
        <v>1.61E-2</v>
      </c>
      <c r="T88" s="1">
        <v>1.851</v>
      </c>
      <c r="U88" s="1">
        <v>2.7465000000000002</v>
      </c>
      <c r="V88" s="1">
        <v>1.8944000000000001</v>
      </c>
      <c r="W88" s="1">
        <v>101</v>
      </c>
      <c r="X88" s="1">
        <v>1</v>
      </c>
      <c r="Y88" s="1">
        <v>1.5407999999999999</v>
      </c>
      <c r="Z88" s="1"/>
      <c r="AA88" s="1">
        <v>0.27739999999999998</v>
      </c>
      <c r="AB88" s="1">
        <v>-0.26910000000000001</v>
      </c>
      <c r="AC88" s="1">
        <v>0.17319999999999999</v>
      </c>
      <c r="AD88" s="1">
        <v>3.8553999999999999</v>
      </c>
      <c r="AE88" s="1">
        <v>5.0312000000000001</v>
      </c>
      <c r="AF88" s="1">
        <v>2.2387000000000001</v>
      </c>
    </row>
    <row r="89" spans="1:32" ht="11.25" x14ac:dyDescent="0.2">
      <c r="A89" s="1">
        <v>73</v>
      </c>
      <c r="B89" s="1">
        <v>1</v>
      </c>
      <c r="C89" s="1">
        <v>25.1</v>
      </c>
      <c r="D89" s="1">
        <v>1</v>
      </c>
      <c r="E89" s="1">
        <v>2.0301</v>
      </c>
      <c r="F89" s="1">
        <v>0.77669999999999995</v>
      </c>
      <c r="G89" s="1">
        <v>0.41460000000000002</v>
      </c>
      <c r="H89" s="1">
        <v>-0.42799999999999999</v>
      </c>
      <c r="I89" s="1">
        <v>8.9999999999999998E-4</v>
      </c>
      <c r="J89" s="1">
        <v>3.6032000000000002</v>
      </c>
      <c r="K89" s="1">
        <v>3.7564000000000002</v>
      </c>
      <c r="L89" s="1">
        <v>2.2254</v>
      </c>
      <c r="M89" s="1">
        <v>-55.1</v>
      </c>
      <c r="N89" s="1">
        <v>1</v>
      </c>
      <c r="O89" s="1">
        <v>2.4739</v>
      </c>
      <c r="P89" s="1">
        <v>0.89790000000000003</v>
      </c>
      <c r="Q89" s="1">
        <v>0.27829999999999999</v>
      </c>
      <c r="R89" s="1">
        <v>-0.26290000000000002</v>
      </c>
      <c r="S89" s="1">
        <v>1.7299999999999999E-2</v>
      </c>
      <c r="T89" s="1">
        <v>1.8123</v>
      </c>
      <c r="U89" s="1">
        <v>2.6745000000000001</v>
      </c>
      <c r="V89" s="1">
        <v>2.0463</v>
      </c>
      <c r="W89" s="1">
        <v>100.8</v>
      </c>
      <c r="X89" s="1">
        <v>1</v>
      </c>
      <c r="Y89" s="1">
        <v>1.5064</v>
      </c>
      <c r="Z89" s="1"/>
      <c r="AA89" s="1">
        <v>0.3972</v>
      </c>
      <c r="AB89" s="1">
        <v>-0.46660000000000001</v>
      </c>
      <c r="AC89" s="1">
        <v>0.22589999999999999</v>
      </c>
      <c r="AD89" s="1">
        <v>3.9285999999999999</v>
      </c>
      <c r="AE89" s="1">
        <v>5.0294999999999996</v>
      </c>
      <c r="AF89" s="1">
        <v>2.3975</v>
      </c>
    </row>
    <row r="90" spans="1:32" ht="11.25" x14ac:dyDescent="0.2">
      <c r="A90" s="1">
        <v>74</v>
      </c>
      <c r="B90" s="1">
        <v>1</v>
      </c>
      <c r="C90" s="1">
        <v>25.3</v>
      </c>
      <c r="D90" s="1">
        <v>1</v>
      </c>
      <c r="E90" s="1">
        <v>2.0310999999999999</v>
      </c>
      <c r="F90" s="1">
        <v>0.77649999999999997</v>
      </c>
      <c r="G90" s="1">
        <v>0.28249999999999997</v>
      </c>
      <c r="H90" s="1">
        <v>-0.24909999999999999</v>
      </c>
      <c r="I90" s="1">
        <v>1.1000000000000001E-3</v>
      </c>
      <c r="J90" s="1">
        <v>3.6032999999999999</v>
      </c>
      <c r="K90" s="1">
        <v>3.8020999999999998</v>
      </c>
      <c r="L90" s="1">
        <v>2.2690000000000001</v>
      </c>
      <c r="M90" s="1">
        <v>-55</v>
      </c>
      <c r="N90" s="1">
        <v>1</v>
      </c>
      <c r="O90" s="1">
        <v>2.4748999999999999</v>
      </c>
      <c r="P90" s="1">
        <v>0.89680000000000004</v>
      </c>
      <c r="Q90" s="1">
        <v>0.35599999999999998</v>
      </c>
      <c r="R90" s="1">
        <v>-0.31469999999999998</v>
      </c>
      <c r="S90" s="1">
        <v>1.6199999999999999E-2</v>
      </c>
      <c r="T90" s="1">
        <v>1.8462000000000001</v>
      </c>
      <c r="U90" s="1">
        <v>2.6875</v>
      </c>
      <c r="V90" s="1">
        <v>2.0916000000000001</v>
      </c>
      <c r="W90" s="1">
        <v>100.6</v>
      </c>
      <c r="X90" s="1">
        <v>1</v>
      </c>
      <c r="Y90" s="1">
        <v>1.5166999999999999</v>
      </c>
      <c r="Z90" s="1"/>
      <c r="AA90" s="1">
        <v>0.34389999999999998</v>
      </c>
      <c r="AB90" s="1">
        <v>-0.28050000000000003</v>
      </c>
      <c r="AC90" s="1">
        <v>0.1963</v>
      </c>
      <c r="AD90" s="1">
        <v>3.9533999999999998</v>
      </c>
      <c r="AE90" s="1">
        <v>5.0187999999999997</v>
      </c>
      <c r="AF90" s="1">
        <v>2.4544000000000001</v>
      </c>
    </row>
    <row r="91" spans="1:32" ht="11.25" x14ac:dyDescent="0.2">
      <c r="A91" s="1">
        <v>75</v>
      </c>
      <c r="B91" s="1">
        <v>1</v>
      </c>
      <c r="C91" s="1">
        <v>24.9</v>
      </c>
      <c r="D91" s="1">
        <v>1</v>
      </c>
      <c r="E91" s="1">
        <v>2.0165000000000002</v>
      </c>
      <c r="F91" s="1">
        <v>0.77869999999999995</v>
      </c>
      <c r="G91" s="1">
        <v>0.28849999999999998</v>
      </c>
      <c r="H91" s="1">
        <v>-0.26669999999999999</v>
      </c>
      <c r="I91" s="1">
        <v>8.0000000000000004E-4</v>
      </c>
      <c r="J91" s="1">
        <v>3.5781999999999998</v>
      </c>
      <c r="K91" s="1">
        <v>3.8147000000000002</v>
      </c>
      <c r="L91" s="1">
        <v>2.1118999999999999</v>
      </c>
      <c r="M91" s="1">
        <v>-55.1</v>
      </c>
      <c r="N91" s="1">
        <v>1</v>
      </c>
      <c r="O91" s="1">
        <v>2.4499</v>
      </c>
      <c r="P91" s="1">
        <v>0.89759999999999995</v>
      </c>
      <c r="Q91" s="1">
        <v>0.3866</v>
      </c>
      <c r="R91" s="1">
        <v>-0.3755</v>
      </c>
      <c r="S91" s="1">
        <v>1.72E-2</v>
      </c>
      <c r="T91" s="1">
        <v>1.8919999999999999</v>
      </c>
      <c r="U91" s="1">
        <v>2.6959</v>
      </c>
      <c r="V91" s="1">
        <v>1.9352</v>
      </c>
      <c r="W91" s="1">
        <v>100.7</v>
      </c>
      <c r="X91" s="1">
        <v>1</v>
      </c>
      <c r="Y91" s="1">
        <v>1.5028999999999999</v>
      </c>
      <c r="Z91" s="1"/>
      <c r="AA91" s="1">
        <v>0.23130000000000001</v>
      </c>
      <c r="AB91" s="1">
        <v>-0.33589999999999998</v>
      </c>
      <c r="AC91" s="1">
        <v>0.21049999999999999</v>
      </c>
      <c r="AD91" s="1">
        <v>3.9094000000000002</v>
      </c>
      <c r="AE91" s="1">
        <v>4.9928999999999997</v>
      </c>
      <c r="AF91" s="1">
        <v>2.2915999999999999</v>
      </c>
    </row>
    <row r="92" spans="1:32" ht="11.25" x14ac:dyDescent="0.2">
      <c r="A92" s="1">
        <v>76</v>
      </c>
      <c r="B92" s="1">
        <v>1</v>
      </c>
      <c r="C92" s="1">
        <v>25.1</v>
      </c>
      <c r="D92" s="1">
        <v>1</v>
      </c>
      <c r="E92" s="1">
        <v>2.0316999999999998</v>
      </c>
      <c r="F92" s="1">
        <v>0.7772</v>
      </c>
      <c r="G92" s="1">
        <v>0.37369999999999998</v>
      </c>
      <c r="H92" s="1">
        <v>-0.31780000000000003</v>
      </c>
      <c r="I92" s="1">
        <v>6.9999999999999999E-4</v>
      </c>
      <c r="J92" s="1">
        <v>3.4432999999999998</v>
      </c>
      <c r="K92" s="1">
        <v>3.7704</v>
      </c>
      <c r="L92" s="1">
        <v>2.2019000000000002</v>
      </c>
      <c r="M92" s="1">
        <v>-55</v>
      </c>
      <c r="N92" s="1">
        <v>1</v>
      </c>
      <c r="O92" s="1">
        <v>2.4653</v>
      </c>
      <c r="P92" s="1">
        <v>0.89700000000000002</v>
      </c>
      <c r="Q92" s="1">
        <v>0.2132</v>
      </c>
      <c r="R92" s="1">
        <v>-0.23230000000000001</v>
      </c>
      <c r="S92" s="1">
        <v>1.7299999999999999E-2</v>
      </c>
      <c r="T92" s="1">
        <v>1.8351</v>
      </c>
      <c r="U92" s="1">
        <v>2.6730999999999998</v>
      </c>
      <c r="V92" s="1">
        <v>2.0244</v>
      </c>
      <c r="W92" s="1">
        <v>100.9</v>
      </c>
      <c r="X92" s="1">
        <v>1</v>
      </c>
      <c r="Y92" s="1">
        <v>1.5208999999999999</v>
      </c>
      <c r="Z92" s="1"/>
      <c r="AA92" s="1">
        <v>0.4224</v>
      </c>
      <c r="AB92" s="1">
        <v>-0.42009999999999997</v>
      </c>
      <c r="AC92" s="1">
        <v>0.19589999999999999</v>
      </c>
      <c r="AD92" s="1">
        <v>3.9464000000000001</v>
      </c>
      <c r="AE92" s="1">
        <v>5.0068999999999999</v>
      </c>
      <c r="AF92" s="1">
        <v>2.3845000000000001</v>
      </c>
    </row>
    <row r="93" spans="1:32" ht="11.25" x14ac:dyDescent="0.2">
      <c r="A93" s="1">
        <v>77</v>
      </c>
      <c r="B93" s="1">
        <v>1</v>
      </c>
      <c r="C93" s="1">
        <v>25.1</v>
      </c>
      <c r="D93" s="1">
        <v>1</v>
      </c>
      <c r="E93" s="1">
        <v>2.0143</v>
      </c>
      <c r="F93" s="1">
        <v>0.78029999999999999</v>
      </c>
      <c r="G93" s="1">
        <v>0.37609999999999999</v>
      </c>
      <c r="H93" s="1">
        <v>-0.42570000000000002</v>
      </c>
      <c r="I93" s="1">
        <v>1.1000000000000001E-3</v>
      </c>
      <c r="J93" s="1">
        <v>3.4276</v>
      </c>
      <c r="K93" s="1">
        <v>3.7563</v>
      </c>
      <c r="L93" s="1">
        <v>1.9238</v>
      </c>
      <c r="M93" s="1">
        <v>-55.1</v>
      </c>
      <c r="N93" s="1">
        <v>1</v>
      </c>
      <c r="O93" s="1">
        <v>2.4403999999999999</v>
      </c>
      <c r="P93" s="1">
        <v>0.89759999999999995</v>
      </c>
      <c r="Q93" s="1">
        <v>0.3947</v>
      </c>
      <c r="R93" s="1">
        <v>-0.43790000000000001</v>
      </c>
      <c r="S93" s="1">
        <v>1.6899999999999998E-2</v>
      </c>
      <c r="T93" s="1">
        <v>1.7822</v>
      </c>
      <c r="U93" s="1">
        <v>2.6398000000000001</v>
      </c>
      <c r="V93" s="1">
        <v>1.7568999999999999</v>
      </c>
      <c r="W93" s="1">
        <v>100.2</v>
      </c>
      <c r="X93" s="1">
        <v>1</v>
      </c>
      <c r="Y93" s="1">
        <v>1.5330999999999999</v>
      </c>
      <c r="Z93" s="1"/>
      <c r="AA93" s="1">
        <v>0.17979999999999999</v>
      </c>
      <c r="AB93" s="1">
        <v>-0.29389999999999999</v>
      </c>
      <c r="AC93" s="1">
        <v>0.16009999999999999</v>
      </c>
      <c r="AD93" s="1">
        <v>3.7641</v>
      </c>
      <c r="AE93" s="1">
        <v>4.8559999999999999</v>
      </c>
      <c r="AF93" s="1">
        <v>2.0872999999999999</v>
      </c>
    </row>
    <row r="94" spans="1:32" ht="11.25" x14ac:dyDescent="0.2">
      <c r="A94" s="1">
        <v>78</v>
      </c>
      <c r="B94" s="1">
        <v>1</v>
      </c>
      <c r="C94" s="1">
        <v>25.4</v>
      </c>
      <c r="D94" s="1">
        <v>1</v>
      </c>
      <c r="E94" s="1">
        <v>1.9934000000000001</v>
      </c>
      <c r="F94" s="1">
        <v>0.77610000000000001</v>
      </c>
      <c r="G94" s="1">
        <v>0.14910000000000001</v>
      </c>
      <c r="H94" s="1">
        <v>-0.29260000000000003</v>
      </c>
      <c r="I94" s="1">
        <v>1E-3</v>
      </c>
      <c r="J94" s="1">
        <v>3.5291000000000001</v>
      </c>
      <c r="K94" s="1">
        <v>3.7824</v>
      </c>
      <c r="L94" s="1">
        <v>2.1326999999999998</v>
      </c>
      <c r="M94" s="1">
        <v>-55.1</v>
      </c>
      <c r="N94" s="1">
        <v>1</v>
      </c>
      <c r="O94" s="1">
        <v>2.4150999999999998</v>
      </c>
      <c r="P94" s="1">
        <v>0.89539999999999997</v>
      </c>
      <c r="Q94" s="1">
        <v>0.37569999999999998</v>
      </c>
      <c r="R94" s="1">
        <v>-0.30520000000000003</v>
      </c>
      <c r="S94" s="1">
        <v>1.6299999999999999E-2</v>
      </c>
      <c r="T94" s="1">
        <v>1.8468</v>
      </c>
      <c r="U94" s="1">
        <v>2.7002000000000002</v>
      </c>
      <c r="V94" s="1">
        <v>1.9591000000000001</v>
      </c>
      <c r="W94" s="1">
        <v>100.6</v>
      </c>
      <c r="X94" s="1">
        <v>1</v>
      </c>
      <c r="Y94" s="1">
        <v>1.5022</v>
      </c>
      <c r="Z94" s="1"/>
      <c r="AA94" s="1">
        <v>0.29339999999999999</v>
      </c>
      <c r="AB94" s="1">
        <v>-0.46560000000000001</v>
      </c>
      <c r="AC94" s="1">
        <v>0.19159999999999999</v>
      </c>
      <c r="AD94" s="1">
        <v>3.8753000000000002</v>
      </c>
      <c r="AE94" s="1">
        <v>4.9534000000000002</v>
      </c>
      <c r="AF94" s="1">
        <v>2.3029000000000002</v>
      </c>
    </row>
    <row r="95" spans="1:32" ht="11.25" x14ac:dyDescent="0.2">
      <c r="A95" s="1">
        <v>79</v>
      </c>
      <c r="B95" s="1">
        <v>1</v>
      </c>
      <c r="C95" s="1">
        <v>25.1</v>
      </c>
      <c r="D95" s="1">
        <v>1</v>
      </c>
      <c r="E95" s="1">
        <v>2.1446999999999998</v>
      </c>
      <c r="F95" s="1">
        <v>0.78690000000000004</v>
      </c>
      <c r="G95" s="1">
        <v>0.38950000000000001</v>
      </c>
      <c r="H95" s="1">
        <v>-0.47070000000000001</v>
      </c>
      <c r="I95" s="1">
        <v>1.1999999999999999E-3</v>
      </c>
      <c r="J95" s="1">
        <v>3.6044</v>
      </c>
      <c r="K95" s="1">
        <v>3.9527999999999999</v>
      </c>
      <c r="L95" s="1">
        <v>1.7958000000000001</v>
      </c>
      <c r="M95" s="1">
        <v>-55.1</v>
      </c>
      <c r="N95" s="1">
        <v>1</v>
      </c>
      <c r="O95" s="1">
        <v>2.6034999999999999</v>
      </c>
      <c r="P95" s="1">
        <v>0.90380000000000005</v>
      </c>
      <c r="Q95" s="1">
        <v>0.29720000000000002</v>
      </c>
      <c r="R95" s="1">
        <v>-0.38850000000000001</v>
      </c>
      <c r="S95" s="1">
        <v>1.7000000000000001E-2</v>
      </c>
      <c r="T95" s="1">
        <v>1.849</v>
      </c>
      <c r="U95" s="1">
        <v>2.8323</v>
      </c>
      <c r="V95" s="1">
        <v>1.6275999999999999</v>
      </c>
      <c r="W95" s="1">
        <v>100.6</v>
      </c>
      <c r="X95" s="1">
        <v>1</v>
      </c>
      <c r="Y95" s="1">
        <v>1.6064000000000001</v>
      </c>
      <c r="Z95" s="1"/>
      <c r="AA95" s="1">
        <v>0.37230000000000002</v>
      </c>
      <c r="AB95" s="1">
        <v>-0.4677</v>
      </c>
      <c r="AC95" s="1">
        <v>0.19389999999999999</v>
      </c>
      <c r="AD95" s="1">
        <v>3.8593999999999999</v>
      </c>
      <c r="AE95" s="1">
        <v>5.1177999999999999</v>
      </c>
      <c r="AF95" s="1">
        <v>1.9701</v>
      </c>
    </row>
    <row r="96" spans="1:32" ht="11.25" x14ac:dyDescent="0.2">
      <c r="A96" s="1">
        <v>80</v>
      </c>
      <c r="B96" s="1">
        <v>1</v>
      </c>
      <c r="C96" s="1">
        <v>25</v>
      </c>
      <c r="D96" s="1">
        <v>1</v>
      </c>
      <c r="E96" s="1">
        <v>2.0038</v>
      </c>
      <c r="F96" s="1">
        <v>0.77959999999999996</v>
      </c>
      <c r="G96" s="1">
        <v>0.36749999999999999</v>
      </c>
      <c r="H96" s="1">
        <v>-0.44340000000000002</v>
      </c>
      <c r="I96" s="1">
        <v>1E-3</v>
      </c>
      <c r="J96" s="1">
        <v>3.4962</v>
      </c>
      <c r="K96" s="1">
        <v>3.7437999999999998</v>
      </c>
      <c r="L96" s="1">
        <v>1.9473</v>
      </c>
      <c r="M96" s="1">
        <v>-55.2</v>
      </c>
      <c r="N96" s="1">
        <v>1</v>
      </c>
      <c r="O96" s="1">
        <v>2.4481000000000002</v>
      </c>
      <c r="P96" s="1">
        <v>0.89939999999999998</v>
      </c>
      <c r="Q96" s="1">
        <v>0.37590000000000001</v>
      </c>
      <c r="R96" s="1">
        <v>-0.28370000000000001</v>
      </c>
      <c r="S96" s="1">
        <v>1.6500000000000001E-2</v>
      </c>
      <c r="T96" s="1">
        <v>1.8409</v>
      </c>
      <c r="U96" s="1">
        <v>2.6638000000000002</v>
      </c>
      <c r="V96" s="1">
        <v>1.776</v>
      </c>
      <c r="W96" s="1">
        <v>100.7</v>
      </c>
      <c r="X96" s="1">
        <v>1</v>
      </c>
      <c r="Y96" s="1">
        <v>1.4752000000000001</v>
      </c>
      <c r="Z96" s="1"/>
      <c r="AA96" s="1">
        <v>0.2104</v>
      </c>
      <c r="AB96" s="1">
        <v>-0.37109999999999999</v>
      </c>
      <c r="AC96" s="1">
        <v>0.24329999999999999</v>
      </c>
      <c r="AD96" s="1">
        <v>3.8719999999999999</v>
      </c>
      <c r="AE96" s="1">
        <v>4.9654999999999996</v>
      </c>
      <c r="AF96" s="1">
        <v>2.1242000000000001</v>
      </c>
    </row>
    <row r="97" spans="1:32" ht="11.25" x14ac:dyDescent="0.2">
      <c r="A97" s="1">
        <v>82</v>
      </c>
      <c r="B97" s="1">
        <v>1</v>
      </c>
      <c r="C97" s="1">
        <v>25</v>
      </c>
      <c r="D97" s="1">
        <v>1</v>
      </c>
      <c r="E97" s="1">
        <v>1.962</v>
      </c>
      <c r="F97" s="1">
        <v>0.77769999999999995</v>
      </c>
      <c r="G97" s="1">
        <v>0.1898</v>
      </c>
      <c r="H97" s="1">
        <v>-0.2777</v>
      </c>
      <c r="I97" s="1">
        <v>1.1000000000000001E-3</v>
      </c>
      <c r="J97" s="1">
        <v>3.5712999999999999</v>
      </c>
      <c r="K97" s="1">
        <v>3.758</v>
      </c>
      <c r="L97" s="1">
        <v>2.1006999999999998</v>
      </c>
      <c r="M97" s="1">
        <v>-55.2</v>
      </c>
      <c r="N97" s="1">
        <v>1</v>
      </c>
      <c r="O97" s="1">
        <v>2.3755000000000002</v>
      </c>
      <c r="P97" s="1">
        <v>0.89839999999999998</v>
      </c>
      <c r="Q97" s="1">
        <v>0.22259999999999999</v>
      </c>
      <c r="R97" s="1">
        <v>-0.21820000000000001</v>
      </c>
      <c r="S97" s="1">
        <v>1.7000000000000001E-2</v>
      </c>
      <c r="T97" s="1">
        <v>1.8809</v>
      </c>
      <c r="U97" s="1">
        <v>2.6861999999999999</v>
      </c>
      <c r="V97" s="1">
        <v>1.9232</v>
      </c>
      <c r="W97" s="1">
        <v>100.7</v>
      </c>
      <c r="X97" s="1">
        <v>1</v>
      </c>
      <c r="Y97" s="1">
        <v>1.4579</v>
      </c>
      <c r="Z97" s="1"/>
      <c r="AA97" s="1">
        <v>0.2288</v>
      </c>
      <c r="AB97" s="1">
        <v>-0.25690000000000002</v>
      </c>
      <c r="AC97" s="1">
        <v>0.2417</v>
      </c>
      <c r="AD97" s="1">
        <v>3.9098000000000002</v>
      </c>
      <c r="AE97" s="1">
        <v>4.9527000000000001</v>
      </c>
      <c r="AF97" s="1">
        <v>2.2841</v>
      </c>
    </row>
    <row r="98" spans="1:32" ht="11.25" x14ac:dyDescent="0.2">
      <c r="A98" s="1">
        <v>83</v>
      </c>
      <c r="B98" s="1">
        <v>1</v>
      </c>
      <c r="C98" s="1">
        <v>25.2</v>
      </c>
      <c r="D98" s="1">
        <v>1</v>
      </c>
      <c r="E98" s="1">
        <v>2.0373999999999999</v>
      </c>
      <c r="F98" s="1">
        <v>0.77859999999999996</v>
      </c>
      <c r="G98" s="1">
        <v>0.3579</v>
      </c>
      <c r="H98" s="1">
        <v>-0.48080000000000001</v>
      </c>
      <c r="I98" s="1">
        <v>6.9999999999999999E-4</v>
      </c>
      <c r="J98" s="1">
        <v>3.6135999999999999</v>
      </c>
      <c r="K98" s="1">
        <v>3.8502000000000001</v>
      </c>
      <c r="L98" s="1">
        <v>1.7786999999999999</v>
      </c>
      <c r="M98" s="1">
        <v>-55</v>
      </c>
      <c r="N98" s="1">
        <v>1</v>
      </c>
      <c r="O98" s="1">
        <v>2.4693999999999998</v>
      </c>
      <c r="P98" s="1">
        <v>0.89859999999999995</v>
      </c>
      <c r="Q98" s="1">
        <v>0.39269999999999999</v>
      </c>
      <c r="R98" s="1">
        <v>-0.43020000000000003</v>
      </c>
      <c r="S98" s="1">
        <v>1.61E-2</v>
      </c>
      <c r="T98" s="1">
        <v>1.8715999999999999</v>
      </c>
      <c r="U98" s="1">
        <v>2.7635000000000001</v>
      </c>
      <c r="V98" s="1">
        <v>1.7904</v>
      </c>
      <c r="W98" s="1">
        <v>100.5</v>
      </c>
      <c r="X98" s="1">
        <v>1</v>
      </c>
      <c r="Y98" s="1">
        <v>1.5174000000000001</v>
      </c>
      <c r="Z98" s="1"/>
      <c r="AA98" s="1">
        <v>0.20150000000000001</v>
      </c>
      <c r="AB98" s="1">
        <v>-0.31480000000000002</v>
      </c>
      <c r="AC98" s="1">
        <v>0.21929999999999999</v>
      </c>
      <c r="AD98" s="1">
        <v>3.9096000000000002</v>
      </c>
      <c r="AE98" s="1">
        <v>4.9997999999999996</v>
      </c>
      <c r="AF98" s="1">
        <v>2.2846000000000002</v>
      </c>
    </row>
    <row r="99" spans="1:32" ht="11.25" x14ac:dyDescent="0.2">
      <c r="A99" s="1">
        <v>84</v>
      </c>
      <c r="B99" s="1">
        <v>1</v>
      </c>
      <c r="C99" s="1">
        <v>25</v>
      </c>
      <c r="D99" s="1">
        <v>1</v>
      </c>
      <c r="E99" s="1">
        <v>2.0036</v>
      </c>
      <c r="F99" s="1">
        <v>0.77749999999999997</v>
      </c>
      <c r="G99" s="1">
        <v>0.40550000000000003</v>
      </c>
      <c r="H99" s="1">
        <v>-0.4345</v>
      </c>
      <c r="I99" s="1">
        <v>5.9999999999999995E-4</v>
      </c>
      <c r="J99" s="1">
        <v>3.5009000000000001</v>
      </c>
      <c r="K99" s="1">
        <v>3.7416999999999998</v>
      </c>
      <c r="L99" s="1">
        <v>2.1333000000000002</v>
      </c>
      <c r="M99" s="1">
        <v>-55.2</v>
      </c>
      <c r="N99" s="1">
        <v>1</v>
      </c>
      <c r="O99" s="1">
        <v>2.4268999999999998</v>
      </c>
      <c r="P99" s="1">
        <v>0.89780000000000004</v>
      </c>
      <c r="Q99" s="1">
        <v>0.3785</v>
      </c>
      <c r="R99" s="1">
        <v>-0.3261</v>
      </c>
      <c r="S99" s="1">
        <v>1.6199999999999999E-2</v>
      </c>
      <c r="T99" s="1">
        <v>1.7897000000000001</v>
      </c>
      <c r="U99" s="1">
        <v>2.6545000000000001</v>
      </c>
      <c r="V99" s="1">
        <v>1.9568000000000001</v>
      </c>
      <c r="W99" s="1">
        <v>100.7</v>
      </c>
      <c r="X99" s="1">
        <v>1</v>
      </c>
      <c r="Y99" s="1">
        <v>1.4864999999999999</v>
      </c>
      <c r="Z99" s="1"/>
      <c r="AA99" s="1">
        <v>0.34370000000000001</v>
      </c>
      <c r="AB99" s="1">
        <v>-0.47689999999999999</v>
      </c>
      <c r="AC99" s="1">
        <v>0.2268</v>
      </c>
      <c r="AD99" s="1">
        <v>3.8532000000000002</v>
      </c>
      <c r="AE99" s="1">
        <v>4.9669999999999996</v>
      </c>
      <c r="AF99" s="1">
        <v>2.3195999999999999</v>
      </c>
    </row>
    <row r="100" spans="1:32" ht="11.25" x14ac:dyDescent="0.2">
      <c r="A100" s="1">
        <v>85</v>
      </c>
      <c r="B100" s="1">
        <v>1</v>
      </c>
      <c r="C100" s="1">
        <v>25.2</v>
      </c>
      <c r="D100" s="1">
        <v>1</v>
      </c>
      <c r="E100" s="1">
        <v>2.0672000000000001</v>
      </c>
      <c r="F100" s="1">
        <v>0.78110000000000002</v>
      </c>
      <c r="G100" s="1">
        <v>0.3261</v>
      </c>
      <c r="H100" s="1">
        <v>-0.48110000000000003</v>
      </c>
      <c r="I100" s="1">
        <v>8.0000000000000004E-4</v>
      </c>
      <c r="J100" s="1">
        <v>3.5057</v>
      </c>
      <c r="K100" s="1">
        <v>3.7221000000000002</v>
      </c>
      <c r="L100" s="1">
        <v>2.0243000000000002</v>
      </c>
      <c r="M100" s="1">
        <v>-55</v>
      </c>
      <c r="N100" s="1">
        <v>1</v>
      </c>
      <c r="O100" s="1">
        <v>2.4996</v>
      </c>
      <c r="P100" s="1">
        <v>0.89780000000000004</v>
      </c>
      <c r="Q100" s="1">
        <v>0.3054</v>
      </c>
      <c r="R100" s="1">
        <v>-0.2989</v>
      </c>
      <c r="S100" s="1">
        <v>1.7299999999999999E-2</v>
      </c>
      <c r="T100" s="1">
        <v>1.7984</v>
      </c>
      <c r="U100" s="1">
        <v>2.6878000000000002</v>
      </c>
      <c r="V100" s="1">
        <v>1.8542000000000001</v>
      </c>
      <c r="W100" s="1">
        <v>100.5</v>
      </c>
      <c r="X100" s="1">
        <v>1</v>
      </c>
      <c r="Y100" s="1">
        <v>1.5698000000000001</v>
      </c>
      <c r="Z100" s="1"/>
      <c r="AA100" s="1">
        <v>0.20880000000000001</v>
      </c>
      <c r="AB100" s="1">
        <v>-0.33260000000000001</v>
      </c>
      <c r="AC100" s="1">
        <v>0.16650000000000001</v>
      </c>
      <c r="AD100" s="1">
        <v>3.7991999999999999</v>
      </c>
      <c r="AE100" s="1">
        <v>4.9126000000000003</v>
      </c>
      <c r="AF100" s="1">
        <v>2.1873999999999998</v>
      </c>
    </row>
    <row r="101" spans="1:32" ht="11.25" x14ac:dyDescent="0.2">
      <c r="A101" s="1">
        <v>86</v>
      </c>
      <c r="B101" s="1">
        <v>1</v>
      </c>
      <c r="C101" s="1">
        <v>25</v>
      </c>
      <c r="D101" s="1">
        <v>1</v>
      </c>
      <c r="E101" s="1">
        <v>1.9373</v>
      </c>
      <c r="F101" s="1">
        <v>0.77690000000000003</v>
      </c>
      <c r="G101" s="1">
        <v>0.35089999999999999</v>
      </c>
      <c r="H101" s="1">
        <v>-0.29930000000000001</v>
      </c>
      <c r="I101" s="1">
        <v>1E-3</v>
      </c>
      <c r="J101" s="1">
        <v>3.6642999999999999</v>
      </c>
      <c r="K101" s="1">
        <v>3.8199000000000001</v>
      </c>
      <c r="L101" s="1">
        <v>2.2719</v>
      </c>
      <c r="M101" s="1">
        <v>-55.2</v>
      </c>
      <c r="N101" s="1">
        <v>1</v>
      </c>
      <c r="O101" s="1">
        <v>2.3618999999999999</v>
      </c>
      <c r="P101" s="1">
        <v>0.89739999999999998</v>
      </c>
      <c r="Q101" s="1">
        <v>0.16589999999999999</v>
      </c>
      <c r="R101" s="1">
        <v>-0.29780000000000001</v>
      </c>
      <c r="S101" s="1">
        <v>1.72E-2</v>
      </c>
      <c r="T101" s="1">
        <v>1.8766</v>
      </c>
      <c r="U101" s="1">
        <v>2.7301000000000002</v>
      </c>
      <c r="V101" s="1">
        <v>2.0971000000000002</v>
      </c>
      <c r="W101" s="1">
        <v>100.8</v>
      </c>
      <c r="X101" s="1">
        <v>1</v>
      </c>
      <c r="Y101" s="1">
        <v>1.4251</v>
      </c>
      <c r="Z101" s="1"/>
      <c r="AA101" s="1">
        <v>0.37040000000000001</v>
      </c>
      <c r="AB101" s="1">
        <v>-0.318</v>
      </c>
      <c r="AC101" s="1">
        <v>0.23200000000000001</v>
      </c>
      <c r="AD101" s="1">
        <v>4.0446999999999997</v>
      </c>
      <c r="AE101" s="1">
        <v>5.0789</v>
      </c>
      <c r="AF101" s="1">
        <v>2.4571000000000001</v>
      </c>
    </row>
    <row r="102" spans="1:32" ht="11.25" x14ac:dyDescent="0.2">
      <c r="A102" s="1">
        <v>87</v>
      </c>
      <c r="B102" s="1">
        <v>1</v>
      </c>
      <c r="C102" s="1">
        <v>24.9</v>
      </c>
      <c r="D102" s="1">
        <v>1</v>
      </c>
      <c r="E102" s="1">
        <v>2.0565000000000002</v>
      </c>
      <c r="F102" s="1">
        <v>0.77839999999999998</v>
      </c>
      <c r="G102" s="1">
        <v>0.3634</v>
      </c>
      <c r="H102" s="1">
        <v>-0.38940000000000002</v>
      </c>
      <c r="I102" s="1">
        <v>8.0000000000000004E-4</v>
      </c>
      <c r="J102" s="1">
        <v>3.4832000000000001</v>
      </c>
      <c r="K102" s="1">
        <v>3.7585000000000002</v>
      </c>
      <c r="L102" s="1">
        <v>2.0756999999999999</v>
      </c>
      <c r="M102" s="1">
        <v>-55.3</v>
      </c>
      <c r="N102" s="1">
        <v>1</v>
      </c>
      <c r="O102" s="1">
        <v>2.5028000000000001</v>
      </c>
      <c r="P102" s="1">
        <v>0.89790000000000003</v>
      </c>
      <c r="Q102" s="1">
        <v>0.39429999999999998</v>
      </c>
      <c r="R102" s="1">
        <v>-0.39019999999999999</v>
      </c>
      <c r="S102" s="1">
        <v>1.6400000000000001E-2</v>
      </c>
      <c r="T102" s="1">
        <v>1.8129999999999999</v>
      </c>
      <c r="U102" s="1">
        <v>2.6779000000000002</v>
      </c>
      <c r="V102" s="1">
        <v>1.9027000000000001</v>
      </c>
      <c r="W102" s="1">
        <v>100.4</v>
      </c>
      <c r="X102" s="1">
        <v>1</v>
      </c>
      <c r="Y102" s="1">
        <v>1.5379</v>
      </c>
      <c r="Z102" s="1"/>
      <c r="AA102" s="1">
        <v>0.1971</v>
      </c>
      <c r="AB102" s="1">
        <v>-0.34350000000000003</v>
      </c>
      <c r="AC102" s="1">
        <v>0.19850000000000001</v>
      </c>
      <c r="AD102" s="1">
        <v>3.8288000000000002</v>
      </c>
      <c r="AE102" s="1">
        <v>4.9824999999999999</v>
      </c>
      <c r="AF102" s="1">
        <v>2.2284000000000002</v>
      </c>
    </row>
    <row r="103" spans="1:32" ht="11.25" x14ac:dyDescent="0.2">
      <c r="A103" s="1">
        <v>88</v>
      </c>
      <c r="B103" s="1">
        <v>1</v>
      </c>
      <c r="C103" s="1">
        <v>25.1</v>
      </c>
      <c r="D103" s="1">
        <v>1</v>
      </c>
      <c r="E103" s="1">
        <v>2.0306999999999999</v>
      </c>
      <c r="F103" s="1">
        <v>0.78769999999999996</v>
      </c>
      <c r="G103" s="1">
        <v>0.40339999999999998</v>
      </c>
      <c r="H103" s="1">
        <v>-0.37440000000000001</v>
      </c>
      <c r="I103" s="1">
        <v>1.1000000000000001E-3</v>
      </c>
      <c r="J103" s="1">
        <v>3.3656000000000001</v>
      </c>
      <c r="K103" s="1">
        <v>4.1387</v>
      </c>
      <c r="L103" s="1">
        <v>1.7830999999999999</v>
      </c>
      <c r="M103" s="1">
        <v>-55.1</v>
      </c>
      <c r="N103" s="1">
        <v>1</v>
      </c>
      <c r="O103" s="1">
        <v>2.4506999999999999</v>
      </c>
      <c r="P103" s="1">
        <v>0.90429999999999999</v>
      </c>
      <c r="Q103" s="1">
        <v>0.37090000000000001</v>
      </c>
      <c r="R103" s="1">
        <v>-0.28270000000000001</v>
      </c>
      <c r="S103" s="1">
        <v>1.66E-2</v>
      </c>
      <c r="T103" s="1">
        <v>1.7565999999999999</v>
      </c>
      <c r="U103" s="1">
        <v>3.1429999999999998</v>
      </c>
      <c r="V103" s="1">
        <v>1.6196999999999999</v>
      </c>
      <c r="W103" s="1">
        <v>100.5</v>
      </c>
      <c r="X103" s="1">
        <v>1</v>
      </c>
      <c r="Y103" s="1">
        <v>1.5369999999999999</v>
      </c>
      <c r="Z103" s="1"/>
      <c r="AA103" s="1">
        <v>0.2026</v>
      </c>
      <c r="AB103" s="1">
        <v>-0.4078</v>
      </c>
      <c r="AC103" s="1">
        <v>0.19359999999999999</v>
      </c>
      <c r="AD103" s="1">
        <v>3.8393000000000002</v>
      </c>
      <c r="AE103" s="1">
        <v>5.2671000000000001</v>
      </c>
      <c r="AF103" s="1">
        <v>1.9612000000000001</v>
      </c>
    </row>
    <row r="104" spans="1:32" ht="11.25" x14ac:dyDescent="0.2">
      <c r="A104" s="1">
        <v>89</v>
      </c>
      <c r="B104" s="1">
        <v>1</v>
      </c>
      <c r="C104" s="1">
        <v>25</v>
      </c>
      <c r="D104" s="1">
        <v>1</v>
      </c>
      <c r="E104" s="1">
        <v>1.9811000000000001</v>
      </c>
      <c r="F104" s="1">
        <v>0.7792</v>
      </c>
      <c r="G104" s="1">
        <v>0.26019999999999999</v>
      </c>
      <c r="H104" s="1">
        <v>-0.23369999999999999</v>
      </c>
      <c r="I104" s="1">
        <v>1.1000000000000001E-3</v>
      </c>
      <c r="J104" s="1">
        <v>3.5630000000000002</v>
      </c>
      <c r="K104" s="1">
        <v>3.8330000000000002</v>
      </c>
      <c r="L104" s="1">
        <v>2.1233</v>
      </c>
      <c r="M104" s="1">
        <v>-55.1</v>
      </c>
      <c r="N104" s="1">
        <v>1</v>
      </c>
      <c r="O104" s="1">
        <v>2.3917000000000002</v>
      </c>
      <c r="P104" s="1">
        <v>0.89800000000000002</v>
      </c>
      <c r="Q104" s="1">
        <v>0.1406</v>
      </c>
      <c r="R104" s="1">
        <v>-0.26079999999999998</v>
      </c>
      <c r="S104" s="1">
        <v>1.6899999999999998E-2</v>
      </c>
      <c r="T104" s="1">
        <v>1.8515999999999999</v>
      </c>
      <c r="U104" s="1">
        <v>2.7484000000000002</v>
      </c>
      <c r="V104" s="1">
        <v>1.9504999999999999</v>
      </c>
      <c r="W104" s="1">
        <v>100.2</v>
      </c>
      <c r="X104" s="1">
        <v>1</v>
      </c>
      <c r="Y104" s="1">
        <v>1.5003</v>
      </c>
      <c r="Z104" s="1"/>
      <c r="AA104" s="1">
        <v>0.27810000000000001</v>
      </c>
      <c r="AB104" s="1">
        <v>-0.29070000000000001</v>
      </c>
      <c r="AC104" s="1">
        <v>0.18679999999999999</v>
      </c>
      <c r="AD104" s="1">
        <v>3.9041000000000001</v>
      </c>
      <c r="AE104" s="1">
        <v>5.0419999999999998</v>
      </c>
      <c r="AF104" s="1">
        <v>2.3001999999999998</v>
      </c>
    </row>
    <row r="105" spans="1:32" ht="11.25" x14ac:dyDescent="0.2">
      <c r="A105" s="1">
        <v>90</v>
      </c>
      <c r="B105" s="1">
        <v>1</v>
      </c>
      <c r="C105" s="1">
        <v>25.1</v>
      </c>
      <c r="D105" s="1">
        <v>1</v>
      </c>
      <c r="E105" s="1">
        <v>2.2166999999999999</v>
      </c>
      <c r="F105" s="1">
        <v>0.78469999999999995</v>
      </c>
      <c r="G105" s="1">
        <v>0.3352</v>
      </c>
      <c r="H105" s="1">
        <v>-0.30480000000000002</v>
      </c>
      <c r="I105" s="1">
        <v>8.9999999999999998E-4</v>
      </c>
      <c r="J105" s="1">
        <v>3.5211999999999999</v>
      </c>
      <c r="K105" s="1">
        <v>3.9167999999999998</v>
      </c>
      <c r="L105" s="1">
        <v>1.9281999999999999</v>
      </c>
      <c r="M105" s="1">
        <v>-55.1</v>
      </c>
      <c r="N105" s="1">
        <v>1</v>
      </c>
      <c r="O105" s="1">
        <v>2.7075</v>
      </c>
      <c r="P105" s="1">
        <v>0.90180000000000005</v>
      </c>
      <c r="Q105" s="1">
        <v>0.39800000000000002</v>
      </c>
      <c r="R105" s="1">
        <v>-0.40110000000000001</v>
      </c>
      <c r="S105" s="1">
        <v>1.67E-2</v>
      </c>
      <c r="T105" s="1">
        <v>1.7911999999999999</v>
      </c>
      <c r="U105" s="1">
        <v>2.8683000000000001</v>
      </c>
      <c r="V105" s="1">
        <v>1.7612000000000001</v>
      </c>
      <c r="W105" s="1">
        <v>100.6</v>
      </c>
      <c r="X105" s="1">
        <v>1</v>
      </c>
      <c r="Y105" s="1">
        <v>1.6553</v>
      </c>
      <c r="Z105" s="1"/>
      <c r="AA105" s="1">
        <v>0.1938</v>
      </c>
      <c r="AB105" s="1">
        <v>-0.28949999999999998</v>
      </c>
      <c r="AC105" s="1">
        <v>0.1661</v>
      </c>
      <c r="AD105" s="1">
        <v>3.8881999999999999</v>
      </c>
      <c r="AE105" s="1">
        <v>5.1273999999999997</v>
      </c>
      <c r="AF105" s="1">
        <v>2.1061999999999999</v>
      </c>
    </row>
    <row r="106" spans="1:32" ht="11.25" x14ac:dyDescent="0.2">
      <c r="A106" s="1">
        <v>91</v>
      </c>
      <c r="B106" s="1">
        <v>1</v>
      </c>
      <c r="C106" s="1">
        <v>24.9</v>
      </c>
      <c r="D106" s="1">
        <v>1</v>
      </c>
      <c r="E106" s="1">
        <v>1.9341999999999999</v>
      </c>
      <c r="F106" s="1">
        <v>0.77680000000000005</v>
      </c>
      <c r="G106" s="1">
        <v>0.36659999999999998</v>
      </c>
      <c r="H106" s="1">
        <v>-0.4471</v>
      </c>
      <c r="I106" s="1">
        <v>5.0000000000000001E-4</v>
      </c>
      <c r="J106" s="1">
        <v>3.6284999999999998</v>
      </c>
      <c r="K106" s="1">
        <v>3.7978000000000001</v>
      </c>
      <c r="L106" s="1">
        <v>2.2534000000000001</v>
      </c>
      <c r="M106" s="1">
        <v>-55.1</v>
      </c>
      <c r="N106" s="1">
        <v>1</v>
      </c>
      <c r="O106" s="1">
        <v>2.3679999999999999</v>
      </c>
      <c r="P106" s="1">
        <v>0.89749999999999996</v>
      </c>
      <c r="Q106" s="1">
        <v>0.17249999999999999</v>
      </c>
      <c r="R106" s="1">
        <v>-0.29459999999999997</v>
      </c>
      <c r="S106" s="1">
        <v>1.6400000000000001E-2</v>
      </c>
      <c r="T106" s="1">
        <v>1.8601000000000001</v>
      </c>
      <c r="U106" s="1">
        <v>2.6659000000000002</v>
      </c>
      <c r="V106" s="1">
        <v>2.0680000000000001</v>
      </c>
      <c r="W106" s="1">
        <v>100.3</v>
      </c>
      <c r="X106" s="1">
        <v>1</v>
      </c>
      <c r="Y106" s="1">
        <v>1.4225000000000001</v>
      </c>
      <c r="Z106" s="1"/>
      <c r="AA106" s="1">
        <v>0.2117</v>
      </c>
      <c r="AB106" s="1">
        <v>-0.23810000000000001</v>
      </c>
      <c r="AC106" s="1">
        <v>0.2321</v>
      </c>
      <c r="AD106" s="1">
        <v>4.0327000000000002</v>
      </c>
      <c r="AE106" s="1">
        <v>5.0622999999999996</v>
      </c>
      <c r="AF106" s="1">
        <v>2.4603999999999999</v>
      </c>
    </row>
    <row r="107" spans="1:32" ht="11.25" x14ac:dyDescent="0.2">
      <c r="A107" s="1">
        <v>92</v>
      </c>
      <c r="B107" s="1">
        <v>1</v>
      </c>
      <c r="C107" s="1">
        <v>25.1</v>
      </c>
      <c r="D107" s="1">
        <v>1</v>
      </c>
      <c r="E107" s="1">
        <v>2.0116000000000001</v>
      </c>
      <c r="F107" s="1">
        <v>0.77949999999999997</v>
      </c>
      <c r="G107" s="1">
        <v>0.34420000000000001</v>
      </c>
      <c r="H107" s="1">
        <v>-0.28649999999999998</v>
      </c>
      <c r="I107" s="1">
        <v>8.0000000000000004E-4</v>
      </c>
      <c r="J107" s="1">
        <v>3.6503000000000001</v>
      </c>
      <c r="K107" s="1">
        <v>3.8542000000000001</v>
      </c>
      <c r="L107" s="1">
        <v>2.0464000000000002</v>
      </c>
      <c r="M107" s="1">
        <v>-55.2</v>
      </c>
      <c r="N107" s="1">
        <v>1</v>
      </c>
      <c r="O107" s="1">
        <v>2.4293</v>
      </c>
      <c r="P107" s="1">
        <v>0.89949999999999997</v>
      </c>
      <c r="Q107" s="1">
        <v>0.25169999999999998</v>
      </c>
      <c r="R107" s="1">
        <v>-0.42209999999999998</v>
      </c>
      <c r="S107" s="1">
        <v>1.77E-2</v>
      </c>
      <c r="T107" s="1">
        <v>1.8786</v>
      </c>
      <c r="U107" s="1">
        <v>2.7627000000000002</v>
      </c>
      <c r="V107" s="1">
        <v>1.8712</v>
      </c>
      <c r="W107" s="1">
        <v>100.6</v>
      </c>
      <c r="X107" s="1">
        <v>1</v>
      </c>
      <c r="Y107" s="1">
        <v>1.5086999999999999</v>
      </c>
      <c r="Z107" s="1"/>
      <c r="AA107" s="1">
        <v>0.34770000000000001</v>
      </c>
      <c r="AB107" s="1">
        <v>-0.2878</v>
      </c>
      <c r="AC107" s="1">
        <v>0.21410000000000001</v>
      </c>
      <c r="AD107" s="1">
        <v>3.9407999999999999</v>
      </c>
      <c r="AE107" s="1">
        <v>5.0133999999999999</v>
      </c>
      <c r="AF107" s="1">
        <v>2.2170999999999998</v>
      </c>
    </row>
    <row r="108" spans="1:32" ht="11.25" x14ac:dyDescent="0.2">
      <c r="A108" s="1">
        <v>93</v>
      </c>
      <c r="B108" s="1">
        <v>1</v>
      </c>
      <c r="C108" s="1">
        <v>25</v>
      </c>
      <c r="D108" s="1">
        <v>1</v>
      </c>
      <c r="E108" s="1">
        <v>2.2073</v>
      </c>
      <c r="F108" s="1">
        <v>0.78800000000000003</v>
      </c>
      <c r="G108" s="1">
        <v>0.40060000000000001</v>
      </c>
      <c r="H108" s="1">
        <v>-0.40079999999999999</v>
      </c>
      <c r="I108" s="1">
        <v>8.9999999999999998E-4</v>
      </c>
      <c r="J108" s="1">
        <v>3.6913</v>
      </c>
      <c r="K108" s="1">
        <v>4.1227999999999998</v>
      </c>
      <c r="L108" s="1">
        <v>1.7341</v>
      </c>
      <c r="M108" s="1">
        <v>-55.1</v>
      </c>
      <c r="N108" s="1">
        <v>1</v>
      </c>
      <c r="O108" s="1">
        <v>2.6671</v>
      </c>
      <c r="P108" s="1">
        <v>0.90610000000000002</v>
      </c>
      <c r="Q108" s="1">
        <v>0.16950000000000001</v>
      </c>
      <c r="R108" s="1">
        <v>-0.22040000000000001</v>
      </c>
      <c r="S108" s="1">
        <v>1.6199999999999999E-2</v>
      </c>
      <c r="T108" s="1">
        <v>1.9956</v>
      </c>
      <c r="U108" s="1">
        <v>3.0790000000000002</v>
      </c>
      <c r="V108" s="1">
        <v>1.5287999999999999</v>
      </c>
      <c r="W108" s="1">
        <v>100.6</v>
      </c>
      <c r="X108" s="1">
        <v>1</v>
      </c>
      <c r="Y108" s="1">
        <v>1.6589</v>
      </c>
      <c r="Z108" s="1"/>
      <c r="AA108" s="1">
        <v>0.29770000000000002</v>
      </c>
      <c r="AB108" s="1">
        <v>-0.25829999999999997</v>
      </c>
      <c r="AC108" s="1">
        <v>0.21329999999999999</v>
      </c>
      <c r="AD108" s="1">
        <v>3.9167000000000001</v>
      </c>
      <c r="AE108" s="1">
        <v>5.1683000000000003</v>
      </c>
      <c r="AF108" s="1">
        <v>1.8619000000000001</v>
      </c>
    </row>
    <row r="109" spans="1:32" ht="11.25" x14ac:dyDescent="0.2">
      <c r="A109" s="1">
        <v>94</v>
      </c>
      <c r="B109" s="1">
        <v>1</v>
      </c>
      <c r="C109" s="1">
        <v>25.3</v>
      </c>
      <c r="D109" s="1">
        <v>1</v>
      </c>
      <c r="E109" s="1">
        <v>1.9446000000000001</v>
      </c>
      <c r="F109" s="1">
        <v>0.77590000000000003</v>
      </c>
      <c r="G109" s="1">
        <v>0.2097</v>
      </c>
      <c r="H109" s="1">
        <v>-0.23430000000000001</v>
      </c>
      <c r="I109" s="1">
        <v>8.9999999999999998E-4</v>
      </c>
      <c r="J109" s="1">
        <v>3.5421999999999998</v>
      </c>
      <c r="K109" s="1">
        <v>3.7408000000000001</v>
      </c>
      <c r="L109" s="1">
        <v>2.1516000000000002</v>
      </c>
      <c r="M109" s="1">
        <v>-55.2</v>
      </c>
      <c r="N109" s="1">
        <v>1</v>
      </c>
      <c r="O109" s="1">
        <v>2.3668999999999998</v>
      </c>
      <c r="P109" s="1">
        <v>0.89459999999999995</v>
      </c>
      <c r="Q109" s="1">
        <v>0.3876</v>
      </c>
      <c r="R109" s="1">
        <v>-0.39050000000000001</v>
      </c>
      <c r="S109" s="1">
        <v>1.6E-2</v>
      </c>
      <c r="T109" s="1">
        <v>1.8492999999999999</v>
      </c>
      <c r="U109" s="1">
        <v>2.6615000000000002</v>
      </c>
      <c r="V109" s="1">
        <v>1.9758</v>
      </c>
      <c r="W109" s="1">
        <v>101.1</v>
      </c>
      <c r="X109" s="1">
        <v>1</v>
      </c>
      <c r="Y109" s="1">
        <v>1.4559</v>
      </c>
      <c r="Z109" s="1"/>
      <c r="AA109" s="1">
        <v>0.4224</v>
      </c>
      <c r="AB109" s="1">
        <v>-0.50029999999999997</v>
      </c>
      <c r="AC109" s="1">
        <v>0.19020000000000001</v>
      </c>
      <c r="AD109" s="1">
        <v>3.8197000000000001</v>
      </c>
      <c r="AE109" s="1">
        <v>4.9173999999999998</v>
      </c>
      <c r="AF109" s="1">
        <v>2.3283</v>
      </c>
    </row>
    <row r="110" spans="1:32" ht="11.25" x14ac:dyDescent="0.2">
      <c r="A110" s="1">
        <v>95</v>
      </c>
      <c r="B110" s="1">
        <v>1</v>
      </c>
      <c r="C110" s="1">
        <v>24.6</v>
      </c>
      <c r="D110" s="1">
        <v>1</v>
      </c>
      <c r="E110" s="1">
        <v>2.0415999999999999</v>
      </c>
      <c r="F110" s="1">
        <v>0.77780000000000005</v>
      </c>
      <c r="G110" s="1">
        <v>0.2127</v>
      </c>
      <c r="H110" s="1">
        <v>-0.23280000000000001</v>
      </c>
      <c r="I110" s="1">
        <v>8.0000000000000004E-4</v>
      </c>
      <c r="J110" s="1">
        <v>3.5463</v>
      </c>
      <c r="K110" s="1">
        <v>3.7873000000000001</v>
      </c>
      <c r="L110" s="1">
        <v>2.1791</v>
      </c>
      <c r="M110" s="1">
        <v>-55.1</v>
      </c>
      <c r="N110" s="1">
        <v>1</v>
      </c>
      <c r="O110" s="1">
        <v>2.4815999999999998</v>
      </c>
      <c r="P110" s="1">
        <v>0.89710000000000001</v>
      </c>
      <c r="Q110" s="1">
        <v>0.3231</v>
      </c>
      <c r="R110" s="1">
        <v>-0.2422</v>
      </c>
      <c r="S110" s="1">
        <v>1.7100000000000001E-2</v>
      </c>
      <c r="T110" s="1">
        <v>1.8527</v>
      </c>
      <c r="U110" s="1">
        <v>2.7042000000000002</v>
      </c>
      <c r="V110" s="1">
        <v>2.0030000000000001</v>
      </c>
      <c r="W110" s="1">
        <v>101.5</v>
      </c>
      <c r="X110" s="1">
        <v>1</v>
      </c>
      <c r="Y110" s="1">
        <v>1.5266999999999999</v>
      </c>
      <c r="Z110" s="1"/>
      <c r="AA110" s="1">
        <v>0.23810000000000001</v>
      </c>
      <c r="AB110" s="1">
        <v>-0.41210000000000002</v>
      </c>
      <c r="AC110" s="1">
        <v>0.18890000000000001</v>
      </c>
      <c r="AD110" s="1">
        <v>3.8946999999999998</v>
      </c>
      <c r="AE110" s="1">
        <v>4.9953000000000003</v>
      </c>
      <c r="AF110" s="1">
        <v>2.3603000000000001</v>
      </c>
    </row>
    <row r="111" spans="1:32" ht="11.25" x14ac:dyDescent="0.2">
      <c r="A111" s="1">
        <v>96</v>
      </c>
      <c r="B111" s="1">
        <v>1</v>
      </c>
      <c r="C111" s="1">
        <v>25</v>
      </c>
      <c r="D111" s="1">
        <v>1</v>
      </c>
      <c r="E111" s="1">
        <v>1.9916</v>
      </c>
      <c r="F111" s="1">
        <v>0.78110000000000002</v>
      </c>
      <c r="G111" s="1">
        <v>0.18410000000000001</v>
      </c>
      <c r="H111" s="1">
        <v>-0.38590000000000002</v>
      </c>
      <c r="I111" s="1">
        <v>6.9999999999999999E-4</v>
      </c>
      <c r="J111" s="1">
        <v>3.4626999999999999</v>
      </c>
      <c r="K111" s="1">
        <v>3.7366000000000001</v>
      </c>
      <c r="L111" s="1">
        <v>1.8673999999999999</v>
      </c>
      <c r="M111" s="1">
        <v>-55</v>
      </c>
      <c r="N111" s="1">
        <v>1</v>
      </c>
      <c r="O111" s="1">
        <v>2.3978999999999999</v>
      </c>
      <c r="P111" s="1">
        <v>0.89790000000000003</v>
      </c>
      <c r="Q111" s="1">
        <v>0.24390000000000001</v>
      </c>
      <c r="R111" s="1">
        <v>-0.37840000000000001</v>
      </c>
      <c r="S111" s="1">
        <v>1.6899999999999998E-2</v>
      </c>
      <c r="T111" s="1">
        <v>1.7607999999999999</v>
      </c>
      <c r="U111" s="1">
        <v>2.7017000000000002</v>
      </c>
      <c r="V111" s="1">
        <v>1.7031000000000001</v>
      </c>
      <c r="W111" s="1">
        <v>100.8</v>
      </c>
      <c r="X111" s="1">
        <v>1</v>
      </c>
      <c r="Y111" s="1">
        <v>1.5183</v>
      </c>
      <c r="Z111" s="1"/>
      <c r="AA111" s="1">
        <v>0.2331</v>
      </c>
      <c r="AB111" s="1">
        <v>-0.25159999999999999</v>
      </c>
      <c r="AC111" s="1">
        <v>0.1744</v>
      </c>
      <c r="AD111" s="1">
        <v>3.8010000000000002</v>
      </c>
      <c r="AE111" s="1">
        <v>4.8630000000000004</v>
      </c>
      <c r="AF111" s="1">
        <v>2.0318999999999998</v>
      </c>
    </row>
    <row r="112" spans="1:32" ht="11.25" x14ac:dyDescent="0.2">
      <c r="A112" s="1">
        <v>97</v>
      </c>
      <c r="B112" s="1">
        <v>1</v>
      </c>
      <c r="C112" s="1">
        <v>25</v>
      </c>
      <c r="D112" s="1">
        <v>1</v>
      </c>
      <c r="E112" s="1">
        <v>1.9685999999999999</v>
      </c>
      <c r="F112" s="1">
        <v>0.77859999999999996</v>
      </c>
      <c r="G112" s="1">
        <v>0.30170000000000002</v>
      </c>
      <c r="H112" s="1">
        <v>-0.46920000000000001</v>
      </c>
      <c r="I112" s="1">
        <v>8.0000000000000004E-4</v>
      </c>
      <c r="J112" s="1">
        <v>3.5964999999999998</v>
      </c>
      <c r="K112" s="1">
        <v>3.7593000000000001</v>
      </c>
      <c r="L112" s="1">
        <v>2.0448</v>
      </c>
      <c r="M112" s="1">
        <v>-55.1</v>
      </c>
      <c r="N112" s="1">
        <v>1</v>
      </c>
      <c r="O112" s="1">
        <v>2.3982000000000001</v>
      </c>
      <c r="P112" s="1">
        <v>0.89759999999999995</v>
      </c>
      <c r="Q112" s="1">
        <v>0.17879999999999999</v>
      </c>
      <c r="R112" s="1">
        <v>-0.21609999999999999</v>
      </c>
      <c r="S112" s="1">
        <v>1.5900000000000001E-2</v>
      </c>
      <c r="T112" s="1">
        <v>1.8159000000000001</v>
      </c>
      <c r="U112" s="1">
        <v>2.6436999999999999</v>
      </c>
      <c r="V112" s="1">
        <v>1.871</v>
      </c>
      <c r="W112" s="1">
        <v>100.6</v>
      </c>
      <c r="X112" s="1">
        <v>1</v>
      </c>
      <c r="Y112" s="1">
        <v>1.4698</v>
      </c>
      <c r="Z112" s="1"/>
      <c r="AA112" s="1">
        <v>0.43020000000000003</v>
      </c>
      <c r="AB112" s="1">
        <v>-0.47420000000000001</v>
      </c>
      <c r="AC112" s="1">
        <v>0.1961</v>
      </c>
      <c r="AD112" s="1">
        <v>3.8012999999999999</v>
      </c>
      <c r="AE112" s="1">
        <v>4.8952</v>
      </c>
      <c r="AF112" s="1">
        <v>2.2233000000000001</v>
      </c>
    </row>
    <row r="113" spans="1:32" ht="11.25" x14ac:dyDescent="0.2">
      <c r="A113" s="1">
        <v>99</v>
      </c>
      <c r="B113" s="1">
        <v>1</v>
      </c>
      <c r="C113" s="1">
        <v>25</v>
      </c>
      <c r="D113" s="1">
        <v>1</v>
      </c>
      <c r="E113" s="1">
        <v>2.0333000000000001</v>
      </c>
      <c r="F113" s="1">
        <v>0.78120000000000001</v>
      </c>
      <c r="G113" s="1">
        <v>0.2283</v>
      </c>
      <c r="H113" s="1">
        <v>-0.37630000000000002</v>
      </c>
      <c r="I113" s="1">
        <v>8.9999999999999998E-4</v>
      </c>
      <c r="J113" s="1">
        <v>3.5238999999999998</v>
      </c>
      <c r="K113" s="1">
        <v>3.8147000000000002</v>
      </c>
      <c r="L113" s="1">
        <v>2.0575000000000001</v>
      </c>
      <c r="M113" s="1">
        <v>-55.2</v>
      </c>
      <c r="N113" s="1">
        <v>1</v>
      </c>
      <c r="O113" s="1">
        <v>2.4601000000000002</v>
      </c>
      <c r="P113" s="1">
        <v>0.89929999999999999</v>
      </c>
      <c r="Q113" s="1">
        <v>0.24590000000000001</v>
      </c>
      <c r="R113" s="1">
        <v>-0.2205</v>
      </c>
      <c r="S113" s="1">
        <v>1.77E-2</v>
      </c>
      <c r="T113" s="1">
        <v>1.8110999999999999</v>
      </c>
      <c r="U113" s="1">
        <v>2.7423999999999999</v>
      </c>
      <c r="V113" s="1">
        <v>1.8855999999999999</v>
      </c>
      <c r="W113" s="1">
        <v>101</v>
      </c>
      <c r="X113" s="1">
        <v>1</v>
      </c>
      <c r="Y113" s="1">
        <v>1.5222</v>
      </c>
      <c r="Z113" s="1"/>
      <c r="AA113" s="1">
        <v>0.2235</v>
      </c>
      <c r="AB113" s="1">
        <v>-0.38090000000000002</v>
      </c>
      <c r="AC113" s="1">
        <v>0.20039999999999999</v>
      </c>
      <c r="AD113" s="1">
        <v>3.9119000000000002</v>
      </c>
      <c r="AE113" s="1">
        <v>5.0255000000000001</v>
      </c>
      <c r="AF113" s="1">
        <v>2.2515000000000001</v>
      </c>
    </row>
    <row r="114" spans="1:32" ht="11.25" x14ac:dyDescent="0.2">
      <c r="A114" s="1">
        <v>100</v>
      </c>
      <c r="B114" s="1">
        <v>1</v>
      </c>
      <c r="C114" s="1">
        <v>25</v>
      </c>
      <c r="D114" s="1">
        <v>1</v>
      </c>
      <c r="E114" s="1">
        <v>2.0398000000000001</v>
      </c>
      <c r="F114" s="1">
        <v>0.78739999999999999</v>
      </c>
      <c r="G114" s="1">
        <v>0.23330000000000001</v>
      </c>
      <c r="H114" s="1">
        <v>-0.41539999999999999</v>
      </c>
      <c r="I114" s="1">
        <v>8.0000000000000004E-4</v>
      </c>
      <c r="J114" s="1">
        <v>3.4975999999999998</v>
      </c>
      <c r="K114" s="1">
        <v>4.4175000000000004</v>
      </c>
      <c r="L114" s="1">
        <v>1.8082</v>
      </c>
      <c r="M114" s="1">
        <v>-55.1</v>
      </c>
      <c r="N114" s="1">
        <v>1</v>
      </c>
      <c r="O114" s="1">
        <v>2.4491000000000001</v>
      </c>
      <c r="P114" s="1">
        <v>0.90290000000000004</v>
      </c>
      <c r="Q114" s="1">
        <v>0.1605</v>
      </c>
      <c r="R114" s="1">
        <v>-0.23150000000000001</v>
      </c>
      <c r="S114" s="1">
        <v>1.6500000000000001E-2</v>
      </c>
      <c r="T114" s="1">
        <v>1.8319000000000001</v>
      </c>
      <c r="U114" s="1">
        <v>3.2755999999999998</v>
      </c>
      <c r="V114" s="1">
        <v>1.645</v>
      </c>
      <c r="W114" s="1">
        <v>101</v>
      </c>
      <c r="X114" s="1">
        <v>1</v>
      </c>
      <c r="Y114" s="1">
        <v>1.5707</v>
      </c>
      <c r="Z114" s="1"/>
      <c r="AA114" s="1">
        <v>0.39140000000000003</v>
      </c>
      <c r="AB114" s="1">
        <v>-0.495</v>
      </c>
      <c r="AC114" s="1">
        <v>0.16350000000000001</v>
      </c>
      <c r="AD114" s="1">
        <v>3.7909999999999999</v>
      </c>
      <c r="AE114" s="1">
        <v>5.5327999999999999</v>
      </c>
      <c r="AF114" s="1">
        <v>1.9710000000000001</v>
      </c>
    </row>
    <row r="115" spans="1:32" ht="11.25" x14ac:dyDescent="0.2">
      <c r="A115" s="1">
        <v>101</v>
      </c>
      <c r="B115" s="1">
        <v>1</v>
      </c>
      <c r="C115" s="1">
        <v>25.1</v>
      </c>
      <c r="D115" s="1">
        <v>1</v>
      </c>
      <c r="E115" s="1">
        <v>2.0272999999999999</v>
      </c>
      <c r="F115" s="1">
        <v>0.77710000000000001</v>
      </c>
      <c r="G115" s="1">
        <v>0.3211</v>
      </c>
      <c r="H115" s="1">
        <v>-0.28549999999999998</v>
      </c>
      <c r="I115" s="1">
        <v>8.0000000000000004E-4</v>
      </c>
      <c r="J115" s="1">
        <v>3.6678000000000002</v>
      </c>
      <c r="K115" s="1">
        <v>3.8452000000000002</v>
      </c>
      <c r="L115" s="1">
        <v>2.2522000000000002</v>
      </c>
      <c r="M115" s="1">
        <v>-55.2</v>
      </c>
      <c r="N115" s="1">
        <v>1</v>
      </c>
      <c r="O115" s="1">
        <v>2.4601000000000002</v>
      </c>
      <c r="P115" s="1">
        <v>0.89710000000000001</v>
      </c>
      <c r="Q115" s="1">
        <v>0.2288</v>
      </c>
      <c r="R115" s="1">
        <v>-0.41799999999999998</v>
      </c>
      <c r="S115" s="1">
        <v>1.7299999999999999E-2</v>
      </c>
      <c r="T115" s="1">
        <v>1.8809</v>
      </c>
      <c r="U115" s="1">
        <v>2.8018999999999998</v>
      </c>
      <c r="V115" s="1">
        <v>2.0306000000000002</v>
      </c>
      <c r="W115" s="1">
        <v>101</v>
      </c>
      <c r="X115" s="1">
        <v>1</v>
      </c>
      <c r="Y115" s="1">
        <v>1.5196000000000001</v>
      </c>
      <c r="Z115" s="1"/>
      <c r="AA115" s="1">
        <v>0.19719999999999999</v>
      </c>
      <c r="AB115" s="1">
        <v>-0.30769999999999997</v>
      </c>
      <c r="AC115" s="1">
        <v>0.18540000000000001</v>
      </c>
      <c r="AD115" s="1">
        <v>3.9988999999999999</v>
      </c>
      <c r="AE115" s="1">
        <v>5.1150000000000002</v>
      </c>
      <c r="AF115" s="1">
        <v>2.3546</v>
      </c>
    </row>
    <row r="116" spans="1:32" ht="11.25" x14ac:dyDescent="0.2">
      <c r="A116" s="1">
        <v>102</v>
      </c>
      <c r="B116" s="1">
        <v>1</v>
      </c>
      <c r="C116" s="1">
        <v>25</v>
      </c>
      <c r="D116" s="1">
        <v>1</v>
      </c>
      <c r="E116" s="1">
        <v>2.0105</v>
      </c>
      <c r="F116" s="1">
        <v>0.77780000000000005</v>
      </c>
      <c r="G116" s="1">
        <v>0.16370000000000001</v>
      </c>
      <c r="H116" s="1">
        <v>-0.30530000000000002</v>
      </c>
      <c r="I116" s="1">
        <v>6.9999999999999999E-4</v>
      </c>
      <c r="J116" s="1">
        <v>3.5983000000000001</v>
      </c>
      <c r="K116" s="1">
        <v>3.8308</v>
      </c>
      <c r="L116" s="1">
        <v>2.0783999999999998</v>
      </c>
      <c r="M116" s="1">
        <v>-55.1</v>
      </c>
      <c r="N116" s="1">
        <v>1</v>
      </c>
      <c r="O116" s="1">
        <v>2.4379</v>
      </c>
      <c r="P116" s="1">
        <v>0.89759999999999995</v>
      </c>
      <c r="Q116" s="1">
        <v>0.16739999999999999</v>
      </c>
      <c r="R116" s="1">
        <v>-0.27529999999999999</v>
      </c>
      <c r="S116" s="1">
        <v>1.6799999999999999E-2</v>
      </c>
      <c r="T116" s="1">
        <v>1.9148000000000001</v>
      </c>
      <c r="U116" s="1">
        <v>2.7641</v>
      </c>
      <c r="V116" s="1">
        <v>1.9048</v>
      </c>
      <c r="W116" s="1">
        <v>100.9</v>
      </c>
      <c r="X116" s="1">
        <v>1</v>
      </c>
      <c r="Y116" s="1">
        <v>1.5154000000000001</v>
      </c>
      <c r="Z116" s="1"/>
      <c r="AA116" s="1">
        <v>0.17810000000000001</v>
      </c>
      <c r="AB116" s="1">
        <v>-0.31659999999999999</v>
      </c>
      <c r="AC116" s="1">
        <v>0.1865</v>
      </c>
      <c r="AD116" s="1">
        <v>3.8839000000000001</v>
      </c>
      <c r="AE116" s="1">
        <v>4.9927000000000001</v>
      </c>
      <c r="AF116" s="1">
        <v>2.2528000000000001</v>
      </c>
    </row>
    <row r="117" spans="1:32" ht="11.25" x14ac:dyDescent="0.2">
      <c r="A117" s="1">
        <v>103</v>
      </c>
      <c r="B117" s="1">
        <v>1</v>
      </c>
      <c r="C117" s="1">
        <v>25</v>
      </c>
      <c r="D117" s="1">
        <v>1</v>
      </c>
      <c r="E117" s="1">
        <v>1.9618</v>
      </c>
      <c r="F117" s="1">
        <v>0.77939999999999998</v>
      </c>
      <c r="G117" s="1">
        <v>0.39200000000000002</v>
      </c>
      <c r="H117" s="1">
        <v>-0.38969999999999999</v>
      </c>
      <c r="I117" s="1">
        <v>1.1000000000000001E-3</v>
      </c>
      <c r="J117" s="1">
        <v>3.6711</v>
      </c>
      <c r="K117" s="1">
        <v>3.9453</v>
      </c>
      <c r="L117" s="1">
        <v>2.1551</v>
      </c>
      <c r="M117" s="1">
        <v>-55.1</v>
      </c>
      <c r="N117" s="1">
        <v>1</v>
      </c>
      <c r="O117" s="1">
        <v>2.3717999999999999</v>
      </c>
      <c r="P117" s="1">
        <v>0.89780000000000004</v>
      </c>
      <c r="Q117" s="1">
        <v>0.25030000000000002</v>
      </c>
      <c r="R117" s="1">
        <v>-0.23280000000000001</v>
      </c>
      <c r="S117" s="1">
        <v>1.6199999999999999E-2</v>
      </c>
      <c r="T117" s="1">
        <v>1.9373</v>
      </c>
      <c r="U117" s="1">
        <v>2.8151000000000002</v>
      </c>
      <c r="V117" s="1">
        <v>1.9829000000000001</v>
      </c>
      <c r="W117" s="1">
        <v>100.9</v>
      </c>
      <c r="X117" s="1">
        <v>1</v>
      </c>
      <c r="Y117" s="1">
        <v>1.4903</v>
      </c>
      <c r="Z117" s="1"/>
      <c r="AA117" s="1">
        <v>0.1968</v>
      </c>
      <c r="AB117" s="1">
        <v>-0.40079999999999999</v>
      </c>
      <c r="AC117" s="1">
        <v>0.159</v>
      </c>
      <c r="AD117" s="1">
        <v>3.9489000000000001</v>
      </c>
      <c r="AE117" s="1">
        <v>4.9953000000000003</v>
      </c>
      <c r="AF117" s="1">
        <v>2.3279000000000001</v>
      </c>
    </row>
    <row r="118" spans="1:32" ht="11.25" x14ac:dyDescent="0.2">
      <c r="A118" s="1">
        <v>104</v>
      </c>
      <c r="B118" s="1">
        <v>1</v>
      </c>
      <c r="C118" s="1">
        <v>25.1</v>
      </c>
      <c r="D118" s="1">
        <v>1</v>
      </c>
      <c r="E118" s="1">
        <v>2.0857000000000001</v>
      </c>
      <c r="F118" s="1">
        <v>0.78080000000000005</v>
      </c>
      <c r="G118" s="1">
        <v>0.3493</v>
      </c>
      <c r="H118" s="1">
        <v>-0.48449999999999999</v>
      </c>
      <c r="I118" s="1">
        <v>8.9999999999999998E-4</v>
      </c>
      <c r="J118" s="1">
        <v>3.4721000000000002</v>
      </c>
      <c r="K118" s="1">
        <v>3.7035999999999998</v>
      </c>
      <c r="L118" s="1">
        <v>1.9336</v>
      </c>
      <c r="M118" s="1">
        <v>-55.1</v>
      </c>
      <c r="N118" s="1">
        <v>1</v>
      </c>
      <c r="O118" s="1">
        <v>2.5411999999999999</v>
      </c>
      <c r="P118" s="1">
        <v>0.89910000000000001</v>
      </c>
      <c r="Q118" s="1">
        <v>0.37840000000000001</v>
      </c>
      <c r="R118" s="1">
        <v>-0.43409999999999999</v>
      </c>
      <c r="S118" s="1">
        <v>1.6199999999999999E-2</v>
      </c>
      <c r="T118" s="1">
        <v>1.7837000000000001</v>
      </c>
      <c r="U118" s="1">
        <v>2.6831999999999998</v>
      </c>
      <c r="V118" s="1">
        <v>1.7645</v>
      </c>
      <c r="W118" s="1">
        <v>100.5</v>
      </c>
      <c r="X118" s="1">
        <v>1</v>
      </c>
      <c r="Y118" s="1">
        <v>1.5566</v>
      </c>
      <c r="Z118" s="1"/>
      <c r="AA118" s="1">
        <v>0.254</v>
      </c>
      <c r="AB118" s="1">
        <v>-0.26029999999999998</v>
      </c>
      <c r="AC118" s="1">
        <v>0.21160000000000001</v>
      </c>
      <c r="AD118" s="1">
        <v>3.8126000000000002</v>
      </c>
      <c r="AE118" s="1">
        <v>4.9504000000000001</v>
      </c>
      <c r="AF118" s="1">
        <v>2.1065999999999998</v>
      </c>
    </row>
    <row r="119" spans="1:32" ht="11.25" x14ac:dyDescent="0.2">
      <c r="A119" s="1">
        <v>105</v>
      </c>
      <c r="B119" s="1">
        <v>1</v>
      </c>
      <c r="C119" s="1">
        <v>25</v>
      </c>
      <c r="D119" s="1">
        <v>1</v>
      </c>
      <c r="E119" s="1">
        <v>2.0131999999999999</v>
      </c>
      <c r="F119" s="1">
        <v>0.77810000000000001</v>
      </c>
      <c r="G119" s="1">
        <v>0.32219999999999999</v>
      </c>
      <c r="H119" s="1">
        <v>-0.27389999999999998</v>
      </c>
      <c r="I119" s="1">
        <v>5.0000000000000001E-4</v>
      </c>
      <c r="J119" s="1">
        <v>3.5625</v>
      </c>
      <c r="K119" s="1">
        <v>3.7469000000000001</v>
      </c>
      <c r="L119" s="1">
        <v>2.1371000000000002</v>
      </c>
      <c r="M119" s="1">
        <v>-55.1</v>
      </c>
      <c r="N119" s="1">
        <v>1</v>
      </c>
      <c r="O119" s="1">
        <v>2.4582000000000002</v>
      </c>
      <c r="P119" s="1">
        <v>0.89749999999999996</v>
      </c>
      <c r="Q119" s="1">
        <v>0.22559999999999999</v>
      </c>
      <c r="R119" s="1">
        <v>-0.21890000000000001</v>
      </c>
      <c r="S119" s="1">
        <v>1.6799999999999999E-2</v>
      </c>
      <c r="T119" s="1">
        <v>1.8165</v>
      </c>
      <c r="U119" s="1">
        <v>2.6867000000000001</v>
      </c>
      <c r="V119" s="1">
        <v>1.9631000000000001</v>
      </c>
      <c r="W119" s="1">
        <v>100.4</v>
      </c>
      <c r="X119" s="1">
        <v>1</v>
      </c>
      <c r="Y119" s="1">
        <v>1.5051000000000001</v>
      </c>
      <c r="Z119" s="1"/>
      <c r="AA119" s="1">
        <v>0.42520000000000002</v>
      </c>
      <c r="AB119" s="1">
        <v>-0.43940000000000001</v>
      </c>
      <c r="AC119" s="1">
        <v>0.19170000000000001</v>
      </c>
      <c r="AD119" s="1">
        <v>3.8445999999999998</v>
      </c>
      <c r="AE119" s="1">
        <v>4.9615999999999998</v>
      </c>
      <c r="AF119" s="1">
        <v>2.3159000000000001</v>
      </c>
    </row>
    <row r="120" spans="1:32" ht="11.25" x14ac:dyDescent="0.2">
      <c r="A120" s="1">
        <v>106</v>
      </c>
      <c r="B120" s="1">
        <v>1</v>
      </c>
      <c r="C120" s="1">
        <v>25</v>
      </c>
      <c r="D120" s="1">
        <v>1</v>
      </c>
      <c r="E120" s="1">
        <v>2.0024999999999999</v>
      </c>
      <c r="F120" s="1">
        <v>0.77829999999999999</v>
      </c>
      <c r="G120" s="1">
        <v>0.24360000000000001</v>
      </c>
      <c r="H120" s="1">
        <v>-0.22309999999999999</v>
      </c>
      <c r="I120" s="1">
        <v>8.9999999999999998E-4</v>
      </c>
      <c r="J120" s="1">
        <v>3.4436</v>
      </c>
      <c r="K120" s="1">
        <v>3.7906</v>
      </c>
      <c r="L120" s="1">
        <v>2.1398000000000001</v>
      </c>
      <c r="M120" s="1">
        <v>-55</v>
      </c>
      <c r="N120" s="1">
        <v>1</v>
      </c>
      <c r="O120" s="1">
        <v>2.4325999999999999</v>
      </c>
      <c r="P120" s="1">
        <v>0.89880000000000004</v>
      </c>
      <c r="Q120" s="1">
        <v>0.39300000000000002</v>
      </c>
      <c r="R120" s="1">
        <v>-0.35320000000000001</v>
      </c>
      <c r="S120" s="1">
        <v>1.6299999999999999E-2</v>
      </c>
      <c r="T120" s="1">
        <v>1.8220000000000001</v>
      </c>
      <c r="U120" s="1">
        <v>2.71</v>
      </c>
      <c r="V120" s="1">
        <v>1.9622999999999999</v>
      </c>
      <c r="W120" s="1">
        <v>100.6</v>
      </c>
      <c r="X120" s="1">
        <v>1</v>
      </c>
      <c r="Y120" s="1">
        <v>1.4862</v>
      </c>
      <c r="Z120" s="1"/>
      <c r="AA120" s="1">
        <v>0.2089</v>
      </c>
      <c r="AB120" s="1">
        <v>-0.26379999999999998</v>
      </c>
      <c r="AC120" s="1">
        <v>0.2218</v>
      </c>
      <c r="AD120" s="1">
        <v>3.8912</v>
      </c>
      <c r="AE120" s="1">
        <v>5.0091999999999999</v>
      </c>
      <c r="AF120" s="1">
        <v>2.3235999999999999</v>
      </c>
    </row>
    <row r="121" spans="1:32" ht="11.25" x14ac:dyDescent="0.2">
      <c r="A121" s="1">
        <v>107</v>
      </c>
      <c r="B121" s="1">
        <v>1</v>
      </c>
      <c r="C121" s="1">
        <v>25</v>
      </c>
      <c r="D121" s="1">
        <v>1</v>
      </c>
      <c r="E121" s="1">
        <v>2.0964</v>
      </c>
      <c r="F121" s="1">
        <v>0.78259999999999996</v>
      </c>
      <c r="G121" s="1">
        <v>0.17319999999999999</v>
      </c>
      <c r="H121" s="1">
        <v>-0.28370000000000001</v>
      </c>
      <c r="I121" s="1">
        <v>1.1000000000000001E-3</v>
      </c>
      <c r="J121" s="1">
        <v>3.6017999999999999</v>
      </c>
      <c r="K121" s="1">
        <v>3.8037000000000001</v>
      </c>
      <c r="L121" s="1">
        <v>1.9577</v>
      </c>
      <c r="M121" s="1">
        <v>-55</v>
      </c>
      <c r="N121" s="1">
        <v>1</v>
      </c>
      <c r="O121" s="1">
        <v>2.5596000000000001</v>
      </c>
      <c r="P121" s="1">
        <v>0.90159999999999996</v>
      </c>
      <c r="Q121" s="1">
        <v>0.3674</v>
      </c>
      <c r="R121" s="1">
        <v>-0.44669999999999999</v>
      </c>
      <c r="S121" s="1">
        <v>1.72E-2</v>
      </c>
      <c r="T121" s="1">
        <v>1.8483000000000001</v>
      </c>
      <c r="U121" s="1">
        <v>2.7231000000000001</v>
      </c>
      <c r="V121" s="1">
        <v>1.7865</v>
      </c>
      <c r="W121" s="1">
        <v>100.7</v>
      </c>
      <c r="X121" s="1">
        <v>1</v>
      </c>
      <c r="Y121" s="1">
        <v>1.5571999999999999</v>
      </c>
      <c r="Z121" s="1"/>
      <c r="AA121" s="1">
        <v>0.2485</v>
      </c>
      <c r="AB121" s="1">
        <v>-0.45100000000000001</v>
      </c>
      <c r="AC121" s="1">
        <v>0.2039</v>
      </c>
      <c r="AD121" s="1">
        <v>3.9416000000000002</v>
      </c>
      <c r="AE121" s="1">
        <v>5.0780000000000003</v>
      </c>
      <c r="AF121" s="1">
        <v>2.1421000000000001</v>
      </c>
    </row>
    <row r="122" spans="1:32" ht="11.25" x14ac:dyDescent="0.2">
      <c r="A122" s="1">
        <v>108</v>
      </c>
      <c r="B122" s="1">
        <v>1</v>
      </c>
      <c r="C122" s="1">
        <v>25.2</v>
      </c>
      <c r="D122" s="1">
        <v>1</v>
      </c>
      <c r="E122" s="1">
        <v>2.0392000000000001</v>
      </c>
      <c r="F122" s="1">
        <v>0.77649999999999997</v>
      </c>
      <c r="G122" s="1">
        <v>0.2341</v>
      </c>
      <c r="H122" s="1">
        <v>-0.4012</v>
      </c>
      <c r="I122" s="1">
        <v>5.9999999999999995E-4</v>
      </c>
      <c r="J122" s="1">
        <v>3.5461999999999998</v>
      </c>
      <c r="K122" s="1">
        <v>3.7688000000000001</v>
      </c>
      <c r="L122" s="1">
        <v>2.2572999999999999</v>
      </c>
      <c r="M122" s="1">
        <v>-55.1</v>
      </c>
      <c r="N122" s="1">
        <v>1</v>
      </c>
      <c r="O122" s="1">
        <v>2.4773000000000001</v>
      </c>
      <c r="P122" s="1">
        <v>0.89390000000000003</v>
      </c>
      <c r="Q122" s="1">
        <v>0.19689999999999999</v>
      </c>
      <c r="R122" s="1">
        <v>-0.3649</v>
      </c>
      <c r="S122" s="1">
        <v>1.66E-2</v>
      </c>
      <c r="T122" s="1">
        <v>1.8096000000000001</v>
      </c>
      <c r="U122" s="1">
        <v>2.6625000000000001</v>
      </c>
      <c r="V122" s="1">
        <v>2.0819999999999999</v>
      </c>
      <c r="W122" s="1">
        <v>100.7</v>
      </c>
      <c r="X122" s="1">
        <v>1</v>
      </c>
      <c r="Y122" s="1">
        <v>1.5430999999999999</v>
      </c>
      <c r="Z122" s="1"/>
      <c r="AA122" s="1">
        <v>0.3901</v>
      </c>
      <c r="AB122" s="1">
        <v>-0.379</v>
      </c>
      <c r="AC122" s="1">
        <v>0.15970000000000001</v>
      </c>
      <c r="AD122" s="1">
        <v>3.8860000000000001</v>
      </c>
      <c r="AE122" s="1">
        <v>4.9819000000000004</v>
      </c>
      <c r="AF122" s="1">
        <v>2.4367000000000001</v>
      </c>
    </row>
    <row r="123" spans="1:32" ht="11.25" x14ac:dyDescent="0.2">
      <c r="A123" s="1">
        <v>109</v>
      </c>
      <c r="B123" s="1">
        <v>1</v>
      </c>
      <c r="C123" s="1">
        <v>24.9</v>
      </c>
      <c r="D123" s="1">
        <v>1</v>
      </c>
      <c r="E123" s="1">
        <v>2.0177999999999998</v>
      </c>
      <c r="F123" s="1">
        <v>0.7823</v>
      </c>
      <c r="G123" s="1">
        <v>0.1497</v>
      </c>
      <c r="H123" s="1">
        <v>-0.25700000000000001</v>
      </c>
      <c r="I123" s="1">
        <v>1.4E-3</v>
      </c>
      <c r="J123" s="1">
        <v>3.6034000000000002</v>
      </c>
      <c r="K123" s="1">
        <v>4.0509000000000004</v>
      </c>
      <c r="L123" s="1">
        <v>1.9001999999999999</v>
      </c>
      <c r="M123" s="1">
        <v>-55</v>
      </c>
      <c r="N123" s="1">
        <v>1</v>
      </c>
      <c r="O123" s="1">
        <v>2.4180000000000001</v>
      </c>
      <c r="P123" s="1">
        <v>0.90029999999999999</v>
      </c>
      <c r="Q123" s="1">
        <v>0.38519999999999999</v>
      </c>
      <c r="R123" s="1">
        <v>-0.41849999999999998</v>
      </c>
      <c r="S123" s="1">
        <v>1.7100000000000001E-2</v>
      </c>
      <c r="T123" s="1">
        <v>1.8313999999999999</v>
      </c>
      <c r="U123" s="1">
        <v>2.9796</v>
      </c>
      <c r="V123" s="1">
        <v>1.7327999999999999</v>
      </c>
      <c r="W123" s="1">
        <v>100.6</v>
      </c>
      <c r="X123" s="1">
        <v>1</v>
      </c>
      <c r="Y123" s="1">
        <v>1.5629999999999999</v>
      </c>
      <c r="Z123" s="1"/>
      <c r="AA123" s="1">
        <v>0.18890000000000001</v>
      </c>
      <c r="AB123" s="1">
        <v>-0.26179999999999998</v>
      </c>
      <c r="AC123" s="1">
        <v>0.16239999999999999</v>
      </c>
      <c r="AD123" s="1">
        <v>3.7629999999999999</v>
      </c>
      <c r="AE123" s="1">
        <v>5.1497000000000002</v>
      </c>
      <c r="AF123" s="1">
        <v>2.0644</v>
      </c>
    </row>
    <row r="124" spans="1:32" ht="11.25" x14ac:dyDescent="0.2">
      <c r="A124" s="1">
        <v>110</v>
      </c>
      <c r="B124" s="1">
        <v>1</v>
      </c>
      <c r="C124" s="1">
        <v>25</v>
      </c>
      <c r="D124" s="1">
        <v>1</v>
      </c>
      <c r="E124" s="1">
        <v>2.0886</v>
      </c>
      <c r="F124" s="1">
        <v>0.78259999999999996</v>
      </c>
      <c r="G124" s="1">
        <v>0.16109999999999999</v>
      </c>
      <c r="H124" s="1">
        <v>-0.31909999999999999</v>
      </c>
      <c r="I124" s="1">
        <v>8.9999999999999998E-4</v>
      </c>
      <c r="J124" s="1">
        <v>3.5114999999999998</v>
      </c>
      <c r="K124" s="1">
        <v>3.8020999999999998</v>
      </c>
      <c r="L124" s="1">
        <v>1.9957</v>
      </c>
      <c r="M124" s="1">
        <v>-55.2</v>
      </c>
      <c r="N124" s="1">
        <v>1</v>
      </c>
      <c r="O124" s="1">
        <v>2.5323000000000002</v>
      </c>
      <c r="P124" s="1">
        <v>0.90090000000000003</v>
      </c>
      <c r="Q124" s="1">
        <v>0.22439999999999999</v>
      </c>
      <c r="R124" s="1">
        <v>-0.2268</v>
      </c>
      <c r="S124" s="1">
        <v>1.7100000000000001E-2</v>
      </c>
      <c r="T124" s="1">
        <v>1.7677</v>
      </c>
      <c r="U124" s="1">
        <v>2.7027000000000001</v>
      </c>
      <c r="V124" s="1">
        <v>1.8250999999999999</v>
      </c>
      <c r="W124" s="1">
        <v>100.5</v>
      </c>
      <c r="X124" s="1">
        <v>1</v>
      </c>
      <c r="Y124" s="1">
        <v>1.5563</v>
      </c>
      <c r="Z124" s="1"/>
      <c r="AA124" s="1">
        <v>0.25309999999999999</v>
      </c>
      <c r="AB124" s="1">
        <v>-0.43070000000000003</v>
      </c>
      <c r="AC124" s="1">
        <v>0.20730000000000001</v>
      </c>
      <c r="AD124" s="1">
        <v>3.8336000000000001</v>
      </c>
      <c r="AE124" s="1">
        <v>4.9763999999999999</v>
      </c>
      <c r="AF124" s="1">
        <v>2.1732</v>
      </c>
    </row>
    <row r="125" spans="1:32" ht="11.25" x14ac:dyDescent="0.2">
      <c r="A125" s="1">
        <v>111</v>
      </c>
      <c r="B125" s="1">
        <v>1</v>
      </c>
      <c r="C125" s="1">
        <v>25.3</v>
      </c>
      <c r="D125" s="1">
        <v>1</v>
      </c>
      <c r="E125" s="1">
        <v>2.0510000000000002</v>
      </c>
      <c r="F125" s="1">
        <v>0.79069999999999996</v>
      </c>
      <c r="G125" s="1">
        <v>0.1946</v>
      </c>
      <c r="H125" s="1">
        <v>-0.4249</v>
      </c>
      <c r="I125" s="1">
        <v>8.0000000000000004E-4</v>
      </c>
      <c r="J125" s="1">
        <v>3.4763000000000002</v>
      </c>
      <c r="K125" s="1">
        <v>4.4751000000000003</v>
      </c>
      <c r="L125" s="1">
        <v>1.7025999999999999</v>
      </c>
      <c r="M125" s="1">
        <v>-55</v>
      </c>
      <c r="N125" s="1">
        <v>1</v>
      </c>
      <c r="O125" s="1">
        <v>2.4681000000000002</v>
      </c>
      <c r="P125" s="1">
        <v>0.90600000000000003</v>
      </c>
      <c r="Q125" s="1">
        <v>0.159</v>
      </c>
      <c r="R125" s="1">
        <v>-0.2477</v>
      </c>
      <c r="S125" s="1">
        <v>1.6400000000000001E-2</v>
      </c>
      <c r="T125" s="1">
        <v>1.8411</v>
      </c>
      <c r="U125" s="1">
        <v>3.3065000000000002</v>
      </c>
      <c r="V125" s="1">
        <v>1.5447</v>
      </c>
      <c r="W125" s="1">
        <v>100.2</v>
      </c>
      <c r="X125" s="1">
        <v>1</v>
      </c>
      <c r="Y125" s="1">
        <v>1.5752999999999999</v>
      </c>
      <c r="Z125" s="1"/>
      <c r="AA125" s="1">
        <v>0.42</v>
      </c>
      <c r="AB125" s="1">
        <v>-0.40089999999999998</v>
      </c>
      <c r="AC125" s="1">
        <v>0.17150000000000001</v>
      </c>
      <c r="AD125" s="1">
        <v>3.823</v>
      </c>
      <c r="AE125" s="1">
        <v>5.6992000000000003</v>
      </c>
      <c r="AF125" s="1">
        <v>1.865</v>
      </c>
    </row>
    <row r="126" spans="1:32" ht="11.25" x14ac:dyDescent="0.2">
      <c r="A126" s="1">
        <v>112</v>
      </c>
      <c r="B126" s="1">
        <v>1</v>
      </c>
      <c r="C126" s="1">
        <v>25</v>
      </c>
      <c r="D126" s="1">
        <v>1</v>
      </c>
      <c r="E126" s="1">
        <v>2.0356000000000001</v>
      </c>
      <c r="F126" s="1">
        <v>0.78269999999999995</v>
      </c>
      <c r="G126" s="1">
        <v>0.1522</v>
      </c>
      <c r="H126" s="1">
        <v>-0.28239999999999998</v>
      </c>
      <c r="I126" s="1">
        <v>1E-3</v>
      </c>
      <c r="J126" s="1">
        <v>3.7132999999999998</v>
      </c>
      <c r="K126" s="1">
        <v>3.7711999999999999</v>
      </c>
      <c r="L126" s="1">
        <v>1.8685</v>
      </c>
      <c r="M126" s="1">
        <v>-55</v>
      </c>
      <c r="N126" s="1">
        <v>1</v>
      </c>
      <c r="O126" s="1">
        <v>2.4498000000000002</v>
      </c>
      <c r="P126" s="1">
        <v>0.89810000000000001</v>
      </c>
      <c r="Q126" s="1">
        <v>0.21340000000000001</v>
      </c>
      <c r="R126" s="1">
        <v>-0.1971</v>
      </c>
      <c r="S126" s="1">
        <v>1.6299999999999999E-2</v>
      </c>
      <c r="T126" s="1">
        <v>1.7727999999999999</v>
      </c>
      <c r="U126" s="1">
        <v>2.6827000000000001</v>
      </c>
      <c r="V126" s="1">
        <v>1.7055</v>
      </c>
      <c r="W126" s="1">
        <v>100.8</v>
      </c>
      <c r="X126" s="1">
        <v>1</v>
      </c>
      <c r="Y126" s="1">
        <v>1.5569</v>
      </c>
      <c r="Z126" s="1"/>
      <c r="AA126" s="1">
        <v>0.4234</v>
      </c>
      <c r="AB126" s="1">
        <v>-0.4002</v>
      </c>
      <c r="AC126" s="1">
        <v>0.155</v>
      </c>
      <c r="AD126" s="1">
        <v>3.7917999999999998</v>
      </c>
      <c r="AE126" s="1">
        <v>4.9194000000000004</v>
      </c>
      <c r="AF126" s="1">
        <v>2.0316000000000001</v>
      </c>
    </row>
    <row r="127" spans="1:32" ht="11.25" x14ac:dyDescent="0.2">
      <c r="A127" s="1">
        <v>113</v>
      </c>
      <c r="B127" s="1">
        <v>1</v>
      </c>
      <c r="C127" s="1">
        <v>25.1</v>
      </c>
      <c r="D127" s="1">
        <v>1</v>
      </c>
      <c r="E127" s="1">
        <v>1.984</v>
      </c>
      <c r="F127" s="1">
        <v>0.78010000000000002</v>
      </c>
      <c r="G127" s="1">
        <v>0.26329999999999998</v>
      </c>
      <c r="H127" s="1">
        <v>-0.43719999999999998</v>
      </c>
      <c r="I127" s="1">
        <v>8.9999999999999998E-4</v>
      </c>
      <c r="J127" s="1">
        <v>3.6396999999999999</v>
      </c>
      <c r="K127" s="1">
        <v>3.8805000000000001</v>
      </c>
      <c r="L127" s="1">
        <v>2.0571000000000002</v>
      </c>
      <c r="M127" s="1">
        <v>-55</v>
      </c>
      <c r="N127" s="1">
        <v>1</v>
      </c>
      <c r="O127" s="1">
        <v>2.383</v>
      </c>
      <c r="P127" s="1">
        <v>0.89729999999999999</v>
      </c>
      <c r="Q127" s="1">
        <v>0.35980000000000001</v>
      </c>
      <c r="R127" s="1">
        <v>-0.438</v>
      </c>
      <c r="S127" s="1">
        <v>1.7000000000000001E-2</v>
      </c>
      <c r="T127" s="1">
        <v>1.8653999999999999</v>
      </c>
      <c r="U127" s="1">
        <v>2.8271000000000002</v>
      </c>
      <c r="V127" s="1">
        <v>1.8866000000000001</v>
      </c>
      <c r="W127" s="1">
        <v>100.6</v>
      </c>
      <c r="X127" s="1">
        <v>1</v>
      </c>
      <c r="Y127" s="1">
        <v>1.526</v>
      </c>
      <c r="Z127" s="1"/>
      <c r="AA127" s="1">
        <v>0.1978</v>
      </c>
      <c r="AB127" s="1">
        <v>-0.35539999999999999</v>
      </c>
      <c r="AC127" s="1">
        <v>0.14810000000000001</v>
      </c>
      <c r="AD127" s="1">
        <v>3.8515999999999999</v>
      </c>
      <c r="AE127" s="1">
        <v>5.0156999999999998</v>
      </c>
      <c r="AF127" s="1">
        <v>2.2269999999999999</v>
      </c>
    </row>
    <row r="128" spans="1:32" ht="11.25" x14ac:dyDescent="0.2">
      <c r="A128" s="1">
        <v>114</v>
      </c>
      <c r="B128" s="1">
        <v>1</v>
      </c>
      <c r="C128" s="1">
        <v>25</v>
      </c>
      <c r="D128" s="1">
        <v>1</v>
      </c>
      <c r="E128" s="1">
        <v>2.0175999999999998</v>
      </c>
      <c r="F128" s="1">
        <v>0.7823</v>
      </c>
      <c r="G128" s="1">
        <v>0.39</v>
      </c>
      <c r="H128" s="1">
        <v>-0.45469999999999999</v>
      </c>
      <c r="I128" s="1">
        <v>1.2999999999999999E-3</v>
      </c>
      <c r="J128" s="1">
        <v>3.6013999999999999</v>
      </c>
      <c r="K128" s="1">
        <v>3.8841999999999999</v>
      </c>
      <c r="L128" s="1">
        <v>1.9047000000000001</v>
      </c>
      <c r="M128" s="1">
        <v>-55.2</v>
      </c>
      <c r="N128" s="1">
        <v>1</v>
      </c>
      <c r="O128" s="1">
        <v>2.4281999999999999</v>
      </c>
      <c r="P128" s="1">
        <v>0.89910000000000001</v>
      </c>
      <c r="Q128" s="1">
        <v>0.28149999999999997</v>
      </c>
      <c r="R128" s="1">
        <v>-0.43169999999999997</v>
      </c>
      <c r="S128" s="1">
        <v>1.6799999999999999E-2</v>
      </c>
      <c r="T128" s="1">
        <v>1.8348</v>
      </c>
      <c r="U128" s="1">
        <v>2.8228</v>
      </c>
      <c r="V128" s="1">
        <v>1.7391000000000001</v>
      </c>
      <c r="W128" s="1">
        <v>100.6</v>
      </c>
      <c r="X128" s="1">
        <v>1</v>
      </c>
      <c r="Y128" s="1">
        <v>1.554</v>
      </c>
      <c r="Z128" s="1"/>
      <c r="AA128" s="1">
        <v>0.41289999999999999</v>
      </c>
      <c r="AB128" s="1">
        <v>-0.48830000000000001</v>
      </c>
      <c r="AC128" s="1">
        <v>0.16159999999999999</v>
      </c>
      <c r="AD128" s="1">
        <v>3.8174999999999999</v>
      </c>
      <c r="AE128" s="1">
        <v>5.0267999999999997</v>
      </c>
      <c r="AF128" s="1">
        <v>2.0687000000000002</v>
      </c>
    </row>
    <row r="129" spans="1:32" ht="11.25" x14ac:dyDescent="0.2">
      <c r="A129" s="1">
        <v>115</v>
      </c>
      <c r="B129" s="1">
        <v>1</v>
      </c>
      <c r="C129" s="1">
        <v>24.9</v>
      </c>
      <c r="D129" s="1">
        <v>1</v>
      </c>
      <c r="E129" s="1">
        <v>1.9555</v>
      </c>
      <c r="F129" s="1">
        <v>0.77710000000000001</v>
      </c>
      <c r="G129" s="1">
        <v>0.37830000000000003</v>
      </c>
      <c r="H129" s="1">
        <v>-0.39290000000000003</v>
      </c>
      <c r="I129" s="1">
        <v>8.0000000000000004E-4</v>
      </c>
      <c r="J129" s="1">
        <v>3.4777999999999998</v>
      </c>
      <c r="K129" s="1">
        <v>3.6635</v>
      </c>
      <c r="L129" s="1">
        <v>2.1482000000000001</v>
      </c>
      <c r="M129" s="1">
        <v>-55.1</v>
      </c>
      <c r="N129" s="1">
        <v>1</v>
      </c>
      <c r="O129" s="1">
        <v>2.3752</v>
      </c>
      <c r="P129" s="1">
        <v>0.89590000000000003</v>
      </c>
      <c r="Q129" s="1">
        <v>0.15</v>
      </c>
      <c r="R129" s="1">
        <v>-0.22770000000000001</v>
      </c>
      <c r="S129" s="1">
        <v>1.61E-2</v>
      </c>
      <c r="T129" s="1">
        <v>1.7447999999999999</v>
      </c>
      <c r="U129" s="1">
        <v>2.5746000000000002</v>
      </c>
      <c r="V129" s="1">
        <v>1.9741</v>
      </c>
      <c r="W129" s="1">
        <v>100.2</v>
      </c>
      <c r="X129" s="1">
        <v>1</v>
      </c>
      <c r="Y129" s="1">
        <v>1.4672000000000001</v>
      </c>
      <c r="Z129" s="1"/>
      <c r="AA129" s="1">
        <v>0.3972</v>
      </c>
      <c r="AB129" s="1">
        <v>-0.43269999999999997</v>
      </c>
      <c r="AC129" s="1">
        <v>0.18129999999999999</v>
      </c>
      <c r="AD129" s="1">
        <v>3.8378000000000001</v>
      </c>
      <c r="AE129" s="1">
        <v>4.9203999999999999</v>
      </c>
      <c r="AF129" s="1">
        <v>2.3256000000000001</v>
      </c>
    </row>
    <row r="130" spans="1:32" ht="11.25" x14ac:dyDescent="0.2">
      <c r="A130" s="1">
        <v>116</v>
      </c>
      <c r="B130" s="1">
        <v>1</v>
      </c>
      <c r="C130" s="1">
        <v>25.1</v>
      </c>
      <c r="D130" s="1">
        <v>1</v>
      </c>
      <c r="E130" s="1">
        <v>1.9796</v>
      </c>
      <c r="F130" s="1">
        <v>0.77980000000000005</v>
      </c>
      <c r="G130" s="1">
        <v>0.18140000000000001</v>
      </c>
      <c r="H130" s="1">
        <v>-0.33250000000000002</v>
      </c>
      <c r="I130" s="1">
        <v>8.0000000000000004E-4</v>
      </c>
      <c r="J130" s="1">
        <v>3.5956000000000001</v>
      </c>
      <c r="K130" s="1">
        <v>3.7894000000000001</v>
      </c>
      <c r="L130" s="1">
        <v>1.8894</v>
      </c>
      <c r="M130" s="1">
        <v>-55</v>
      </c>
      <c r="N130" s="1">
        <v>1</v>
      </c>
      <c r="O130" s="1">
        <v>2.3982000000000001</v>
      </c>
      <c r="P130" s="1">
        <v>0.89929999999999999</v>
      </c>
      <c r="Q130" s="1">
        <v>0.16339999999999999</v>
      </c>
      <c r="R130" s="1">
        <v>-0.25369999999999998</v>
      </c>
      <c r="S130" s="1">
        <v>1.66E-2</v>
      </c>
      <c r="T130" s="1">
        <v>1.8392999999999999</v>
      </c>
      <c r="U130" s="1">
        <v>2.6663000000000001</v>
      </c>
      <c r="V130" s="1">
        <v>1.7121</v>
      </c>
      <c r="W130" s="1">
        <v>100.4</v>
      </c>
      <c r="X130" s="1">
        <v>1</v>
      </c>
      <c r="Y130" s="1">
        <v>1.4733000000000001</v>
      </c>
      <c r="Z130" s="1"/>
      <c r="AA130" s="1">
        <v>0.39579999999999999</v>
      </c>
      <c r="AB130" s="1">
        <v>-0.46529999999999999</v>
      </c>
      <c r="AC130" s="1">
        <v>0.23139999999999999</v>
      </c>
      <c r="AD130" s="1">
        <v>3.8569</v>
      </c>
      <c r="AE130" s="1">
        <v>4.9485999999999999</v>
      </c>
      <c r="AF130" s="1">
        <v>2.1078999999999999</v>
      </c>
    </row>
    <row r="131" spans="1:32" ht="11.25" x14ac:dyDescent="0.2">
      <c r="A131" s="1">
        <v>117</v>
      </c>
      <c r="B131" s="1">
        <v>1</v>
      </c>
      <c r="C131" s="1">
        <v>25.1</v>
      </c>
      <c r="D131" s="1">
        <v>1</v>
      </c>
      <c r="E131" s="1">
        <v>2.0019</v>
      </c>
      <c r="F131" s="1">
        <v>0.77859999999999996</v>
      </c>
      <c r="G131" s="1">
        <v>0.17349999999999999</v>
      </c>
      <c r="H131" s="1">
        <v>-0.39500000000000002</v>
      </c>
      <c r="I131" s="1">
        <v>8.0000000000000004E-4</v>
      </c>
      <c r="J131" s="1">
        <v>3.5051000000000001</v>
      </c>
      <c r="K131" s="1">
        <v>3.7757000000000001</v>
      </c>
      <c r="L131" s="1">
        <v>2.0855999999999999</v>
      </c>
      <c r="M131" s="1">
        <v>-55.2</v>
      </c>
      <c r="N131" s="1">
        <v>1</v>
      </c>
      <c r="O131" s="1">
        <v>2.4220000000000002</v>
      </c>
      <c r="P131" s="1">
        <v>0.89939999999999998</v>
      </c>
      <c r="Q131" s="1">
        <v>0.3997</v>
      </c>
      <c r="R131" s="1">
        <v>-0.32100000000000001</v>
      </c>
      <c r="S131" s="1">
        <v>1.6500000000000001E-2</v>
      </c>
      <c r="T131" s="1">
        <v>1.8246</v>
      </c>
      <c r="U131" s="1">
        <v>2.6899000000000002</v>
      </c>
      <c r="V131" s="1">
        <v>1.9092</v>
      </c>
      <c r="W131" s="1">
        <v>100.7</v>
      </c>
      <c r="X131" s="1">
        <v>1</v>
      </c>
      <c r="Y131" s="1">
        <v>1.4936</v>
      </c>
      <c r="Z131" s="1"/>
      <c r="AA131" s="1">
        <v>0.3619</v>
      </c>
      <c r="AB131" s="1">
        <v>-0.50009999999999999</v>
      </c>
      <c r="AC131" s="1">
        <v>0.22600000000000001</v>
      </c>
      <c r="AD131" s="1">
        <v>3.8418999999999999</v>
      </c>
      <c r="AE131" s="1">
        <v>4.9888000000000003</v>
      </c>
      <c r="AF131" s="1">
        <v>2.2662</v>
      </c>
    </row>
    <row r="132" spans="1:32" ht="11.25" x14ac:dyDescent="0.2">
      <c r="A132" s="1">
        <v>118</v>
      </c>
      <c r="B132" s="1">
        <v>1</v>
      </c>
      <c r="C132" s="1">
        <v>25</v>
      </c>
      <c r="D132" s="1">
        <v>1</v>
      </c>
      <c r="E132" s="1">
        <v>2.0110999999999999</v>
      </c>
      <c r="F132" s="1">
        <v>0.78410000000000002</v>
      </c>
      <c r="G132" s="1">
        <v>0.1923</v>
      </c>
      <c r="H132" s="1">
        <v>-0.22140000000000001</v>
      </c>
      <c r="I132" s="1">
        <v>1.1000000000000001E-3</v>
      </c>
      <c r="J132" s="1">
        <v>3.5310999999999999</v>
      </c>
      <c r="K132" s="1">
        <v>3.8565</v>
      </c>
      <c r="L132" s="1">
        <v>1.8352999999999999</v>
      </c>
      <c r="M132" s="1">
        <v>-55.1</v>
      </c>
      <c r="N132" s="1">
        <v>1</v>
      </c>
      <c r="O132" s="1">
        <v>2.4245000000000001</v>
      </c>
      <c r="P132" s="1">
        <v>0.90169999999999995</v>
      </c>
      <c r="Q132" s="1">
        <v>0.21579999999999999</v>
      </c>
      <c r="R132" s="1">
        <v>-0.3846</v>
      </c>
      <c r="S132" s="1">
        <v>1.5900000000000001E-2</v>
      </c>
      <c r="T132" s="1">
        <v>1.8691</v>
      </c>
      <c r="U132" s="1">
        <v>2.8325999999999998</v>
      </c>
      <c r="V132" s="1">
        <v>1.6714</v>
      </c>
      <c r="W132" s="1">
        <v>100.8</v>
      </c>
      <c r="X132" s="1">
        <v>1</v>
      </c>
      <c r="Y132" s="1">
        <v>1.5247999999999999</v>
      </c>
      <c r="Z132" s="1"/>
      <c r="AA132" s="1">
        <v>0.1847</v>
      </c>
      <c r="AB132" s="1">
        <v>-0.32990000000000003</v>
      </c>
      <c r="AC132" s="1">
        <v>0.17879999999999999</v>
      </c>
      <c r="AD132" s="1">
        <v>3.8315000000000001</v>
      </c>
      <c r="AE132" s="1">
        <v>5.0270000000000001</v>
      </c>
      <c r="AF132" s="1">
        <v>2.0021</v>
      </c>
    </row>
    <row r="133" spans="1:32" ht="11.25" x14ac:dyDescent="0.2">
      <c r="A133" s="1">
        <v>119</v>
      </c>
      <c r="B133" s="1">
        <v>1</v>
      </c>
      <c r="C133" s="1">
        <v>25</v>
      </c>
      <c r="D133" s="1">
        <v>1</v>
      </c>
      <c r="E133" s="1">
        <v>2.0377000000000001</v>
      </c>
      <c r="F133" s="1">
        <v>0.77990000000000004</v>
      </c>
      <c r="G133" s="1">
        <v>0.21510000000000001</v>
      </c>
      <c r="H133" s="1">
        <v>-0.35809999999999997</v>
      </c>
      <c r="I133" s="1">
        <v>1.1000000000000001E-3</v>
      </c>
      <c r="J133" s="1">
        <v>3.5272999999999999</v>
      </c>
      <c r="K133" s="1">
        <v>3.7562000000000002</v>
      </c>
      <c r="L133" s="1">
        <v>2.0728</v>
      </c>
      <c r="M133" s="1">
        <v>-55.1</v>
      </c>
      <c r="N133" s="1">
        <v>1</v>
      </c>
      <c r="O133" s="1">
        <v>2.4832999999999998</v>
      </c>
      <c r="P133" s="1">
        <v>0.8972</v>
      </c>
      <c r="Q133" s="1">
        <v>0.29260000000000003</v>
      </c>
      <c r="R133" s="1">
        <v>-0.1928</v>
      </c>
      <c r="S133" s="1">
        <v>1.61E-2</v>
      </c>
      <c r="T133" s="1">
        <v>1.7737000000000001</v>
      </c>
      <c r="U133" s="1">
        <v>2.6718999999999999</v>
      </c>
      <c r="V133" s="1">
        <v>1.8989</v>
      </c>
      <c r="W133" s="1">
        <v>100.7</v>
      </c>
      <c r="X133" s="1">
        <v>1</v>
      </c>
      <c r="Y133" s="1">
        <v>1.5308999999999999</v>
      </c>
      <c r="Z133" s="1"/>
      <c r="AA133" s="1">
        <v>0.2366</v>
      </c>
      <c r="AB133" s="1">
        <v>-0.34379999999999999</v>
      </c>
      <c r="AC133" s="1">
        <v>0.17530000000000001</v>
      </c>
      <c r="AD133" s="1">
        <v>3.8136000000000001</v>
      </c>
      <c r="AE133" s="1">
        <v>4.9401999999999999</v>
      </c>
      <c r="AF133" s="1">
        <v>2.2543000000000002</v>
      </c>
    </row>
    <row r="134" spans="1:32" ht="11.25" x14ac:dyDescent="0.2">
      <c r="A134" s="1">
        <v>120</v>
      </c>
      <c r="B134" s="1">
        <v>1</v>
      </c>
      <c r="C134" s="1">
        <v>25.2</v>
      </c>
      <c r="D134" s="1">
        <v>1</v>
      </c>
      <c r="E134" s="1">
        <v>1.9787999999999999</v>
      </c>
      <c r="F134" s="1">
        <v>0.78149999999999997</v>
      </c>
      <c r="G134" s="1">
        <v>0.34460000000000002</v>
      </c>
      <c r="H134" s="1">
        <v>-0.28110000000000002</v>
      </c>
      <c r="I134" s="1">
        <v>6.9999999999999999E-4</v>
      </c>
      <c r="J134" s="1">
        <v>3.5306999999999999</v>
      </c>
      <c r="K134" s="1">
        <v>3.8906000000000001</v>
      </c>
      <c r="L134" s="1">
        <v>2.0739999999999998</v>
      </c>
      <c r="M134" s="1">
        <v>-55.3</v>
      </c>
      <c r="N134" s="1">
        <v>1</v>
      </c>
      <c r="O134" s="1">
        <v>2.3828</v>
      </c>
      <c r="P134" s="1">
        <v>0.90010000000000001</v>
      </c>
      <c r="Q134" s="1">
        <v>0.38979999999999998</v>
      </c>
      <c r="R134" s="1">
        <v>-0.42220000000000002</v>
      </c>
      <c r="S134" s="1">
        <v>1.6799999999999999E-2</v>
      </c>
      <c r="T134" s="1">
        <v>1.8016000000000001</v>
      </c>
      <c r="U134" s="1">
        <v>2.8614000000000002</v>
      </c>
      <c r="V134" s="1">
        <v>1.9013</v>
      </c>
      <c r="W134" s="1">
        <v>100.9</v>
      </c>
      <c r="X134" s="1">
        <v>1</v>
      </c>
      <c r="Y134" s="1">
        <v>1.5089999999999999</v>
      </c>
      <c r="Z134" s="1"/>
      <c r="AA134" s="1">
        <v>0.33300000000000002</v>
      </c>
      <c r="AB134" s="1">
        <v>-0.4758</v>
      </c>
      <c r="AC134" s="1">
        <v>0.1787</v>
      </c>
      <c r="AD134" s="1">
        <v>3.8506</v>
      </c>
      <c r="AE134" s="1">
        <v>5.0797999999999996</v>
      </c>
      <c r="AF134" s="1">
        <v>2.2524000000000002</v>
      </c>
    </row>
    <row r="135" spans="1:32" ht="11.25" x14ac:dyDescent="0.2">
      <c r="A135" s="1">
        <v>121</v>
      </c>
      <c r="B135" s="1">
        <v>1</v>
      </c>
      <c r="C135" s="1">
        <v>25.1</v>
      </c>
      <c r="D135" s="1">
        <v>1</v>
      </c>
      <c r="E135" s="1">
        <v>2.0436999999999999</v>
      </c>
      <c r="F135" s="1">
        <v>0.78180000000000005</v>
      </c>
      <c r="G135" s="1">
        <v>0.2228</v>
      </c>
      <c r="H135" s="1">
        <v>-0.24310000000000001</v>
      </c>
      <c r="I135" s="1">
        <v>1.1000000000000001E-3</v>
      </c>
      <c r="J135" s="1">
        <v>3.4237000000000002</v>
      </c>
      <c r="K135" s="1">
        <v>3.7631000000000001</v>
      </c>
      <c r="L135" s="1">
        <v>1.8773</v>
      </c>
      <c r="M135" s="1">
        <v>-55.1</v>
      </c>
      <c r="N135" s="1">
        <v>1</v>
      </c>
      <c r="O135" s="1">
        <v>2.4628999999999999</v>
      </c>
      <c r="P135" s="1">
        <v>0.9</v>
      </c>
      <c r="Q135" s="1">
        <v>0.29339999999999999</v>
      </c>
      <c r="R135" s="1">
        <v>-0.2414</v>
      </c>
      <c r="S135" s="1">
        <v>1.6500000000000001E-2</v>
      </c>
      <c r="T135" s="1">
        <v>1.7928999999999999</v>
      </c>
      <c r="U135" s="1">
        <v>2.7086999999999999</v>
      </c>
      <c r="V135" s="1">
        <v>1.7101999999999999</v>
      </c>
      <c r="W135" s="1">
        <v>100.8</v>
      </c>
      <c r="X135" s="1">
        <v>1</v>
      </c>
      <c r="Y135" s="1">
        <v>1.5341</v>
      </c>
      <c r="Z135" s="1"/>
      <c r="AA135" s="1">
        <v>0.26750000000000002</v>
      </c>
      <c r="AB135" s="1">
        <v>-0.45660000000000001</v>
      </c>
      <c r="AC135" s="1">
        <v>0.2223</v>
      </c>
      <c r="AD135" s="1">
        <v>3.8757000000000001</v>
      </c>
      <c r="AE135" s="1">
        <v>5.0368000000000004</v>
      </c>
      <c r="AF135" s="1">
        <v>2.0497000000000001</v>
      </c>
    </row>
    <row r="136" spans="1:32" ht="11.25" x14ac:dyDescent="0.2">
      <c r="A136" s="1">
        <v>122</v>
      </c>
      <c r="B136" s="1">
        <v>1</v>
      </c>
      <c r="C136" s="1">
        <v>25</v>
      </c>
      <c r="D136" s="1">
        <v>1</v>
      </c>
      <c r="E136" s="1">
        <v>2.0455999999999999</v>
      </c>
      <c r="F136" s="1">
        <v>0.78220000000000001</v>
      </c>
      <c r="G136" s="1">
        <v>0.38690000000000002</v>
      </c>
      <c r="H136" s="1">
        <v>-0.44569999999999999</v>
      </c>
      <c r="I136" s="1">
        <v>8.9999999999999998E-4</v>
      </c>
      <c r="J136" s="1">
        <v>3.5684</v>
      </c>
      <c r="K136" s="1">
        <v>3.9051</v>
      </c>
      <c r="L136" s="1">
        <v>1.8985000000000001</v>
      </c>
      <c r="M136" s="1">
        <v>-55.1</v>
      </c>
      <c r="N136" s="1">
        <v>1</v>
      </c>
      <c r="O136" s="1">
        <v>2.4630999999999998</v>
      </c>
      <c r="P136" s="1">
        <v>0.90180000000000005</v>
      </c>
      <c r="Q136" s="1">
        <v>0.39100000000000001</v>
      </c>
      <c r="R136" s="1">
        <v>-0.44259999999999999</v>
      </c>
      <c r="S136" s="1">
        <v>1.6400000000000001E-2</v>
      </c>
      <c r="T136" s="1">
        <v>1.8209</v>
      </c>
      <c r="U136" s="1">
        <v>2.8458999999999999</v>
      </c>
      <c r="V136" s="1">
        <v>1.7312000000000001</v>
      </c>
      <c r="W136" s="1">
        <v>100.4</v>
      </c>
      <c r="X136" s="1">
        <v>1</v>
      </c>
      <c r="Y136" s="1">
        <v>1.5491999999999999</v>
      </c>
      <c r="Z136" s="1"/>
      <c r="AA136" s="1">
        <v>0.27510000000000001</v>
      </c>
      <c r="AB136" s="1">
        <v>-0.27410000000000001</v>
      </c>
      <c r="AC136" s="1">
        <v>0.2</v>
      </c>
      <c r="AD136" s="1">
        <v>3.9333999999999998</v>
      </c>
      <c r="AE136" s="1">
        <v>5.1094999999999997</v>
      </c>
      <c r="AF136" s="1">
        <v>2.0691000000000002</v>
      </c>
    </row>
    <row r="137" spans="1:32" ht="11.25" x14ac:dyDescent="0.2">
      <c r="A137" s="1">
        <v>123</v>
      </c>
      <c r="B137" s="1">
        <v>1</v>
      </c>
      <c r="C137" s="1">
        <v>25</v>
      </c>
      <c r="D137" s="1">
        <v>1</v>
      </c>
      <c r="E137" s="1">
        <v>1.9548000000000001</v>
      </c>
      <c r="F137" s="1">
        <v>0.77629999999999999</v>
      </c>
      <c r="G137" s="1">
        <v>0.18679999999999999</v>
      </c>
      <c r="H137" s="1">
        <v>-0.38900000000000001</v>
      </c>
      <c r="I137" s="1">
        <v>5.9999999999999995E-4</v>
      </c>
      <c r="J137" s="1">
        <v>3.6947999999999999</v>
      </c>
      <c r="K137" s="1">
        <v>3.8083999999999998</v>
      </c>
      <c r="L137" s="1">
        <v>2.3191000000000002</v>
      </c>
      <c r="M137" s="1">
        <v>-55.1</v>
      </c>
      <c r="N137" s="1">
        <v>1</v>
      </c>
      <c r="O137" s="1">
        <v>2.3767999999999998</v>
      </c>
      <c r="P137" s="1">
        <v>0.89639999999999997</v>
      </c>
      <c r="Q137" s="1">
        <v>0.27229999999999999</v>
      </c>
      <c r="R137" s="1">
        <v>-0.45900000000000002</v>
      </c>
      <c r="S137" s="1">
        <v>1.6500000000000001E-2</v>
      </c>
      <c r="T137" s="1">
        <v>1.903</v>
      </c>
      <c r="U137" s="1">
        <v>2.7033999999999998</v>
      </c>
      <c r="V137" s="1">
        <v>2.1415999999999999</v>
      </c>
      <c r="W137" s="1">
        <v>100.2</v>
      </c>
      <c r="X137" s="1">
        <v>1</v>
      </c>
      <c r="Y137" s="1">
        <v>1.4556</v>
      </c>
      <c r="Z137" s="1"/>
      <c r="AA137" s="1">
        <v>0.4325</v>
      </c>
      <c r="AB137" s="1">
        <v>-0.3387</v>
      </c>
      <c r="AC137" s="1">
        <v>0.20619999999999999</v>
      </c>
      <c r="AD137" s="1">
        <v>3.9967999999999999</v>
      </c>
      <c r="AE137" s="1">
        <v>5.0456000000000003</v>
      </c>
      <c r="AF137" s="1">
        <v>2.5125999999999999</v>
      </c>
    </row>
    <row r="138" spans="1:32" ht="11.25" x14ac:dyDescent="0.2">
      <c r="A138" s="1">
        <v>124</v>
      </c>
      <c r="B138" s="1">
        <v>1</v>
      </c>
      <c r="C138" s="1">
        <v>25.1</v>
      </c>
      <c r="D138" s="1">
        <v>1</v>
      </c>
      <c r="E138" s="1">
        <v>2.0575000000000001</v>
      </c>
      <c r="F138" s="1">
        <v>0.77910000000000001</v>
      </c>
      <c r="G138" s="1">
        <v>0.15060000000000001</v>
      </c>
      <c r="H138" s="1">
        <v>-0.2329</v>
      </c>
      <c r="I138" s="1">
        <v>5.9999999999999995E-4</v>
      </c>
      <c r="J138" s="1">
        <v>3.6778</v>
      </c>
      <c r="K138" s="1">
        <v>3.8546</v>
      </c>
      <c r="L138" s="1">
        <v>2.0847000000000002</v>
      </c>
      <c r="M138" s="1">
        <v>-55.1</v>
      </c>
      <c r="N138" s="1">
        <v>1</v>
      </c>
      <c r="O138" s="1">
        <v>2.5068999999999999</v>
      </c>
      <c r="P138" s="1">
        <v>0.89949999999999997</v>
      </c>
      <c r="Q138" s="1">
        <v>0.27779999999999999</v>
      </c>
      <c r="R138" s="1">
        <v>-0.22159999999999999</v>
      </c>
      <c r="S138" s="1">
        <v>1.6400000000000001E-2</v>
      </c>
      <c r="T138" s="1">
        <v>1.9067000000000001</v>
      </c>
      <c r="U138" s="1">
        <v>2.7477</v>
      </c>
      <c r="V138" s="1">
        <v>1.9079999999999999</v>
      </c>
      <c r="W138" s="1">
        <v>100.6</v>
      </c>
      <c r="X138" s="1">
        <v>1</v>
      </c>
      <c r="Y138" s="1">
        <v>1.5293000000000001</v>
      </c>
      <c r="Z138" s="1"/>
      <c r="AA138" s="1">
        <v>0.21809999999999999</v>
      </c>
      <c r="AB138" s="1">
        <v>-0.41860000000000003</v>
      </c>
      <c r="AC138" s="1">
        <v>0.22239999999999999</v>
      </c>
      <c r="AD138" s="1">
        <v>3.9487000000000001</v>
      </c>
      <c r="AE138" s="1">
        <v>5.0361000000000002</v>
      </c>
      <c r="AF138" s="1">
        <v>2.2663000000000002</v>
      </c>
    </row>
    <row r="139" spans="1:32" ht="11.25" x14ac:dyDescent="0.2">
      <c r="A139" s="1">
        <v>125</v>
      </c>
      <c r="B139" s="1">
        <v>1</v>
      </c>
      <c r="C139" s="1">
        <v>25</v>
      </c>
      <c r="D139" s="1">
        <v>1</v>
      </c>
      <c r="E139" s="1">
        <v>2.1732999999999998</v>
      </c>
      <c r="F139" s="1">
        <v>0.78469999999999995</v>
      </c>
      <c r="G139" s="1">
        <v>0.3619</v>
      </c>
      <c r="H139" s="1">
        <v>-0.45810000000000001</v>
      </c>
      <c r="I139" s="1">
        <v>8.9999999999999998E-4</v>
      </c>
      <c r="J139" s="1">
        <v>3.7755000000000001</v>
      </c>
      <c r="K139" s="1">
        <v>4.0366</v>
      </c>
      <c r="L139" s="1">
        <v>1.9843999999999999</v>
      </c>
      <c r="M139" s="1">
        <v>-55</v>
      </c>
      <c r="N139" s="1">
        <v>1</v>
      </c>
      <c r="O139" s="1">
        <v>2.6503999999999999</v>
      </c>
      <c r="P139" s="1">
        <v>0.90200000000000002</v>
      </c>
      <c r="Q139" s="1">
        <v>0.32629999999999998</v>
      </c>
      <c r="R139" s="1">
        <v>-0.44259999999999999</v>
      </c>
      <c r="S139" s="1">
        <v>1.6500000000000001E-2</v>
      </c>
      <c r="T139" s="1">
        <v>1.9016999999999999</v>
      </c>
      <c r="U139" s="1">
        <v>2.8690000000000002</v>
      </c>
      <c r="V139" s="1">
        <v>1.8149</v>
      </c>
      <c r="W139" s="1">
        <v>100.6</v>
      </c>
      <c r="X139" s="1">
        <v>1</v>
      </c>
      <c r="Y139" s="1">
        <v>1.6318999999999999</v>
      </c>
      <c r="Z139" s="1"/>
      <c r="AA139" s="1">
        <v>0.34239999999999998</v>
      </c>
      <c r="AB139" s="1">
        <v>-0.32879999999999998</v>
      </c>
      <c r="AC139" s="1">
        <v>0.16209999999999999</v>
      </c>
      <c r="AD139" s="1">
        <v>4.0038999999999998</v>
      </c>
      <c r="AE139" s="1">
        <v>5.1684000000000001</v>
      </c>
      <c r="AF139" s="1">
        <v>2.1553</v>
      </c>
    </row>
    <row r="140" spans="1:32" ht="11.25" x14ac:dyDescent="0.2">
      <c r="A140" s="1">
        <v>126</v>
      </c>
      <c r="B140" s="1">
        <v>1</v>
      </c>
      <c r="C140" s="1">
        <v>24.9</v>
      </c>
      <c r="D140" s="1">
        <v>1</v>
      </c>
      <c r="E140" s="1">
        <v>1.931</v>
      </c>
      <c r="F140" s="1">
        <v>0.77790000000000004</v>
      </c>
      <c r="G140" s="1">
        <v>0.1983</v>
      </c>
      <c r="H140" s="1">
        <v>-0.22900000000000001</v>
      </c>
      <c r="I140" s="1">
        <v>5.9999999999999995E-4</v>
      </c>
      <c r="J140" s="1">
        <v>3.7555000000000001</v>
      </c>
      <c r="K140" s="1">
        <v>3.8719999999999999</v>
      </c>
      <c r="L140" s="1">
        <v>2.2713000000000001</v>
      </c>
      <c r="M140" s="1">
        <v>-55.1</v>
      </c>
      <c r="N140" s="1">
        <v>1</v>
      </c>
      <c r="O140" s="1">
        <v>2.3565</v>
      </c>
      <c r="P140" s="1">
        <v>0.89790000000000003</v>
      </c>
      <c r="Q140" s="1">
        <v>0.35680000000000001</v>
      </c>
      <c r="R140" s="1">
        <v>-0.44890000000000002</v>
      </c>
      <c r="S140" s="1">
        <v>1.6500000000000001E-2</v>
      </c>
      <c r="T140" s="1">
        <v>1.9308000000000001</v>
      </c>
      <c r="U140" s="1">
        <v>2.7589000000000001</v>
      </c>
      <c r="V140" s="1">
        <v>2.0937000000000001</v>
      </c>
      <c r="W140" s="1">
        <v>100.5</v>
      </c>
      <c r="X140" s="1">
        <v>1</v>
      </c>
      <c r="Y140" s="1">
        <v>1.4218</v>
      </c>
      <c r="Z140" s="1"/>
      <c r="AA140" s="1">
        <v>0.41339999999999999</v>
      </c>
      <c r="AB140" s="1">
        <v>-0.44450000000000001</v>
      </c>
      <c r="AC140" s="1">
        <v>0.22439999999999999</v>
      </c>
      <c r="AD140" s="1">
        <v>4.0457999999999998</v>
      </c>
      <c r="AE140" s="1">
        <v>5.0602999999999998</v>
      </c>
      <c r="AF140" s="1">
        <v>2.4611999999999998</v>
      </c>
    </row>
    <row r="141" spans="1:32" ht="11.25" x14ac:dyDescent="0.2">
      <c r="A141" s="1">
        <v>127</v>
      </c>
      <c r="B141" s="1">
        <v>1</v>
      </c>
      <c r="C141" s="1">
        <v>25</v>
      </c>
      <c r="D141" s="1">
        <v>1</v>
      </c>
      <c r="E141" s="1">
        <v>2.0352999999999999</v>
      </c>
      <c r="F141" s="1">
        <v>0.77680000000000005</v>
      </c>
      <c r="G141" s="1">
        <v>0.17380000000000001</v>
      </c>
      <c r="H141" s="1">
        <v>-0.33489999999999998</v>
      </c>
      <c r="I141" s="1">
        <v>8.0000000000000004E-4</v>
      </c>
      <c r="J141" s="1">
        <v>3.5950000000000002</v>
      </c>
      <c r="K141" s="1">
        <v>3.7976000000000001</v>
      </c>
      <c r="L141" s="1">
        <v>2.2378999999999998</v>
      </c>
      <c r="M141" s="1">
        <v>-55.1</v>
      </c>
      <c r="N141" s="1">
        <v>1</v>
      </c>
      <c r="O141" s="1">
        <v>2.4691999999999998</v>
      </c>
      <c r="P141" s="1">
        <v>0.89510000000000001</v>
      </c>
      <c r="Q141" s="1">
        <v>0.3826</v>
      </c>
      <c r="R141" s="1">
        <v>-0.33610000000000001</v>
      </c>
      <c r="S141" s="1">
        <v>1.72E-2</v>
      </c>
      <c r="T141" s="1">
        <v>1.8737999999999999</v>
      </c>
      <c r="U141" s="1">
        <v>2.7368999999999999</v>
      </c>
      <c r="V141" s="1">
        <v>2.0630999999999999</v>
      </c>
      <c r="W141" s="1">
        <v>100.2</v>
      </c>
      <c r="X141" s="1">
        <v>1</v>
      </c>
      <c r="Y141" s="1">
        <v>1.5476000000000001</v>
      </c>
      <c r="Z141" s="1"/>
      <c r="AA141" s="1">
        <v>0.17499999999999999</v>
      </c>
      <c r="AB141" s="1">
        <v>-0.33100000000000002</v>
      </c>
      <c r="AC141" s="1">
        <v>0.15790000000000001</v>
      </c>
      <c r="AD141" s="1">
        <v>3.8727</v>
      </c>
      <c r="AE141" s="1">
        <v>4.9839000000000002</v>
      </c>
      <c r="AF141" s="1">
        <v>2.4148999999999998</v>
      </c>
    </row>
    <row r="142" spans="1:32" ht="11.25" x14ac:dyDescent="0.2">
      <c r="A142" s="1">
        <v>128</v>
      </c>
      <c r="B142" s="1">
        <v>1</v>
      </c>
      <c r="C142" s="1">
        <v>25</v>
      </c>
      <c r="D142" s="1">
        <v>1</v>
      </c>
      <c r="E142" s="1">
        <v>2.0213000000000001</v>
      </c>
      <c r="F142" s="1">
        <v>0.77600000000000002</v>
      </c>
      <c r="G142" s="1">
        <v>0.16589999999999999</v>
      </c>
      <c r="H142" s="1">
        <v>-0.38679999999999998</v>
      </c>
      <c r="I142" s="1">
        <v>1E-3</v>
      </c>
      <c r="J142" s="1">
        <v>3.5451999999999999</v>
      </c>
      <c r="K142" s="1">
        <v>3.7486999999999999</v>
      </c>
      <c r="L142" s="1">
        <v>2.2387000000000001</v>
      </c>
      <c r="M142" s="1">
        <v>-55.1</v>
      </c>
      <c r="N142" s="1">
        <v>1</v>
      </c>
      <c r="O142" s="1">
        <v>2.4457</v>
      </c>
      <c r="P142" s="1">
        <v>0.89459999999999995</v>
      </c>
      <c r="Q142" s="1">
        <v>0.36890000000000001</v>
      </c>
      <c r="R142" s="1">
        <v>-0.30719999999999997</v>
      </c>
      <c r="S142" s="1">
        <v>1.5900000000000001E-2</v>
      </c>
      <c r="T142" s="1">
        <v>1.8239000000000001</v>
      </c>
      <c r="U142" s="1">
        <v>2.71</v>
      </c>
      <c r="V142" s="1">
        <v>2.0630999999999999</v>
      </c>
      <c r="W142" s="1">
        <v>100.7</v>
      </c>
      <c r="X142" s="1">
        <v>1</v>
      </c>
      <c r="Y142" s="1">
        <v>1.5322</v>
      </c>
      <c r="Z142" s="1"/>
      <c r="AA142" s="1">
        <v>0.2039</v>
      </c>
      <c r="AB142" s="1">
        <v>-0.2379</v>
      </c>
      <c r="AC142" s="1">
        <v>0.16789999999999999</v>
      </c>
      <c r="AD142" s="1">
        <v>3.8567</v>
      </c>
      <c r="AE142" s="1">
        <v>4.9196999999999997</v>
      </c>
      <c r="AF142" s="1">
        <v>2.4184000000000001</v>
      </c>
    </row>
    <row r="143" spans="1:32" ht="11.25" x14ac:dyDescent="0.2">
      <c r="A143" s="1">
        <v>130</v>
      </c>
      <c r="B143" s="1">
        <v>1</v>
      </c>
      <c r="C143" s="1">
        <v>24.7</v>
      </c>
      <c r="D143" s="1">
        <v>1</v>
      </c>
      <c r="E143" s="1">
        <v>2.0674999999999999</v>
      </c>
      <c r="F143" s="1">
        <v>0.78169999999999995</v>
      </c>
      <c r="G143" s="1">
        <v>0.24160000000000001</v>
      </c>
      <c r="H143" s="1">
        <v>-0.42170000000000002</v>
      </c>
      <c r="I143" s="1">
        <v>1E-3</v>
      </c>
      <c r="J143" s="1">
        <v>3.6865000000000001</v>
      </c>
      <c r="K143" s="1">
        <v>3.851</v>
      </c>
      <c r="L143" s="1">
        <v>1.9444999999999999</v>
      </c>
      <c r="M143" s="1">
        <v>-55.1</v>
      </c>
      <c r="N143" s="1">
        <v>1</v>
      </c>
      <c r="O143" s="1">
        <v>2.5143</v>
      </c>
      <c r="P143" s="1">
        <v>0.89859999999999995</v>
      </c>
      <c r="Q143" s="1">
        <v>0.14929999999999999</v>
      </c>
      <c r="R143" s="1">
        <v>-0.32119999999999999</v>
      </c>
      <c r="S143" s="1">
        <v>1.7500000000000002E-2</v>
      </c>
      <c r="T143" s="1">
        <v>1.8599000000000001</v>
      </c>
      <c r="U143" s="1">
        <v>2.7772000000000001</v>
      </c>
      <c r="V143" s="1">
        <v>1.7803</v>
      </c>
      <c r="W143" s="1">
        <v>100.1</v>
      </c>
      <c r="X143" s="1">
        <v>1</v>
      </c>
      <c r="Y143" s="1">
        <v>1.5579000000000001</v>
      </c>
      <c r="Z143" s="1"/>
      <c r="AA143" s="1">
        <v>0.22720000000000001</v>
      </c>
      <c r="AB143" s="1">
        <v>-0.39269999999999999</v>
      </c>
      <c r="AC143" s="1">
        <v>0.1711</v>
      </c>
      <c r="AD143" s="1">
        <v>3.9548000000000001</v>
      </c>
      <c r="AE143" s="1">
        <v>5.0041000000000002</v>
      </c>
      <c r="AF143" s="1">
        <v>2.1358999999999999</v>
      </c>
    </row>
    <row r="144" spans="1:32" ht="11.25" x14ac:dyDescent="0.2">
      <c r="A144" s="1">
        <v>131</v>
      </c>
      <c r="B144" s="1">
        <v>1</v>
      </c>
      <c r="C144" s="1">
        <v>25.1</v>
      </c>
      <c r="D144" s="1">
        <v>1</v>
      </c>
      <c r="E144" s="1">
        <v>1.9927999999999999</v>
      </c>
      <c r="F144" s="1">
        <v>0.77669999999999995</v>
      </c>
      <c r="G144" s="1">
        <v>0.1661</v>
      </c>
      <c r="H144" s="1">
        <v>-0.33379999999999999</v>
      </c>
      <c r="I144" s="1">
        <v>5.9999999999999995E-4</v>
      </c>
      <c r="J144" s="1">
        <v>3.714</v>
      </c>
      <c r="K144" s="1">
        <v>3.8170999999999999</v>
      </c>
      <c r="L144" s="1">
        <v>2.2023000000000001</v>
      </c>
      <c r="M144" s="1">
        <v>-55.1</v>
      </c>
      <c r="N144" s="1">
        <v>1</v>
      </c>
      <c r="O144" s="1">
        <v>2.4125000000000001</v>
      </c>
      <c r="P144" s="1">
        <v>0.89529999999999998</v>
      </c>
      <c r="Q144" s="1">
        <v>0.24179999999999999</v>
      </c>
      <c r="R144" s="1">
        <v>-0.41799999999999998</v>
      </c>
      <c r="S144" s="1">
        <v>1.6799999999999999E-2</v>
      </c>
      <c r="T144" s="1">
        <v>1.7659</v>
      </c>
      <c r="U144" s="1">
        <v>2.7517999999999998</v>
      </c>
      <c r="V144" s="1">
        <v>2.0261</v>
      </c>
      <c r="W144" s="1">
        <v>101</v>
      </c>
      <c r="X144" s="1">
        <v>1</v>
      </c>
      <c r="Y144" s="1">
        <v>1.5108999999999999</v>
      </c>
      <c r="Z144" s="1"/>
      <c r="AA144" s="1">
        <v>0.31290000000000001</v>
      </c>
      <c r="AB144" s="1">
        <v>-0.2571</v>
      </c>
      <c r="AC144" s="1">
        <v>0.16200000000000001</v>
      </c>
      <c r="AD144" s="1">
        <v>3.6865999999999999</v>
      </c>
      <c r="AE144" s="1">
        <v>4.9452999999999996</v>
      </c>
      <c r="AF144" s="1">
        <v>2.38</v>
      </c>
    </row>
    <row r="145" spans="1:32" ht="11.25" x14ac:dyDescent="0.2">
      <c r="A145" s="1">
        <v>132</v>
      </c>
      <c r="B145" s="1">
        <v>1</v>
      </c>
      <c r="C145" s="1">
        <v>25</v>
      </c>
      <c r="D145" s="1">
        <v>1</v>
      </c>
      <c r="E145" s="1">
        <v>2.2138</v>
      </c>
      <c r="F145" s="1">
        <v>0.78549999999999998</v>
      </c>
      <c r="G145" s="1">
        <v>0.38429999999999997</v>
      </c>
      <c r="H145" s="1">
        <v>-0.41610000000000003</v>
      </c>
      <c r="I145" s="1">
        <v>1.2999999999999999E-3</v>
      </c>
      <c r="J145" s="1">
        <v>3.6993999999999998</v>
      </c>
      <c r="K145" s="1">
        <v>4.0042</v>
      </c>
      <c r="L145" s="1">
        <v>1.7626999999999999</v>
      </c>
      <c r="M145" s="1">
        <v>-55.1</v>
      </c>
      <c r="N145" s="1">
        <v>1</v>
      </c>
      <c r="O145" s="1">
        <v>2.6903000000000001</v>
      </c>
      <c r="P145" s="1">
        <v>0.90459999999999996</v>
      </c>
      <c r="Q145" s="1">
        <v>0.28120000000000001</v>
      </c>
      <c r="R145" s="1">
        <v>-0.43980000000000002</v>
      </c>
      <c r="S145" s="1">
        <v>1.7299999999999999E-2</v>
      </c>
      <c r="T145" s="1">
        <v>1.8956999999999999</v>
      </c>
      <c r="U145" s="1">
        <v>2.9371</v>
      </c>
      <c r="V145" s="1">
        <v>1.6006</v>
      </c>
      <c r="W145" s="1">
        <v>100.8</v>
      </c>
      <c r="X145" s="1">
        <v>1</v>
      </c>
      <c r="Y145" s="1">
        <v>1.6544000000000001</v>
      </c>
      <c r="Z145" s="1"/>
      <c r="AA145" s="1">
        <v>0.4496</v>
      </c>
      <c r="AB145" s="1">
        <v>-0.44669999999999999</v>
      </c>
      <c r="AC145" s="1">
        <v>0.2016</v>
      </c>
      <c r="AD145" s="1">
        <v>3.8332000000000002</v>
      </c>
      <c r="AE145" s="1">
        <v>5.0721999999999996</v>
      </c>
      <c r="AF145" s="1">
        <v>1.9285000000000001</v>
      </c>
    </row>
    <row r="146" spans="1:32" ht="11.25" x14ac:dyDescent="0.2">
      <c r="A146" s="1">
        <v>133</v>
      </c>
      <c r="B146" s="1">
        <v>1</v>
      </c>
      <c r="C146" s="1">
        <v>25.1</v>
      </c>
      <c r="D146" s="1">
        <v>1</v>
      </c>
      <c r="E146" s="1">
        <v>2.04</v>
      </c>
      <c r="F146" s="1">
        <v>0.7782</v>
      </c>
      <c r="G146" s="1">
        <v>0.3821</v>
      </c>
      <c r="H146" s="1">
        <v>-0.46</v>
      </c>
      <c r="I146" s="1">
        <v>8.9999999999999998E-4</v>
      </c>
      <c r="J146" s="1">
        <v>3.6404000000000001</v>
      </c>
      <c r="K146" s="1">
        <v>3.8917000000000002</v>
      </c>
      <c r="L146" s="1">
        <v>2.2159</v>
      </c>
      <c r="M146" s="1">
        <v>-55</v>
      </c>
      <c r="N146" s="1">
        <v>1</v>
      </c>
      <c r="O146" s="1">
        <v>2.4584999999999999</v>
      </c>
      <c r="P146" s="1">
        <v>0.8972</v>
      </c>
      <c r="Q146" s="1">
        <v>0.158</v>
      </c>
      <c r="R146" s="1">
        <v>-0.23780000000000001</v>
      </c>
      <c r="S146" s="1">
        <v>1.6400000000000001E-2</v>
      </c>
      <c r="T146" s="1">
        <v>1.8673999999999999</v>
      </c>
      <c r="U146" s="1">
        <v>2.7866</v>
      </c>
      <c r="V146" s="1">
        <v>2.0392999999999999</v>
      </c>
      <c r="W146" s="1">
        <v>100.2</v>
      </c>
      <c r="X146" s="1">
        <v>1</v>
      </c>
      <c r="Y146" s="1">
        <v>1.5407999999999999</v>
      </c>
      <c r="Z146" s="1"/>
      <c r="AA146" s="1">
        <v>0.4224</v>
      </c>
      <c r="AB146" s="1">
        <v>-0.48330000000000001</v>
      </c>
      <c r="AC146" s="1">
        <v>0.1928</v>
      </c>
      <c r="AD146" s="1">
        <v>3.9780000000000002</v>
      </c>
      <c r="AE146" s="1">
        <v>5.0986000000000002</v>
      </c>
      <c r="AF146" s="1">
        <v>2.4001999999999999</v>
      </c>
    </row>
    <row r="147" spans="1:32" ht="11.25" x14ac:dyDescent="0.2">
      <c r="A147" s="1">
        <v>134</v>
      </c>
      <c r="B147" s="1">
        <v>1</v>
      </c>
      <c r="C147" s="1">
        <v>25.1</v>
      </c>
      <c r="D147" s="1">
        <v>1</v>
      </c>
      <c r="E147" s="1">
        <v>2.0621999999999998</v>
      </c>
      <c r="F147" s="1">
        <v>0.78200000000000003</v>
      </c>
      <c r="G147" s="1">
        <v>0.19350000000000001</v>
      </c>
      <c r="H147" s="1">
        <v>-0.32629999999999998</v>
      </c>
      <c r="I147" s="1">
        <v>6.9999999999999999E-4</v>
      </c>
      <c r="J147" s="1">
        <v>3.5225</v>
      </c>
      <c r="K147" s="1">
        <v>3.8395000000000001</v>
      </c>
      <c r="L147" s="1">
        <v>2.0194999999999999</v>
      </c>
      <c r="M147" s="1">
        <v>-55.2</v>
      </c>
      <c r="N147" s="1">
        <v>1</v>
      </c>
      <c r="O147" s="1">
        <v>2.5045999999999999</v>
      </c>
      <c r="P147" s="1">
        <v>0.90059999999999996</v>
      </c>
      <c r="Q147" s="1">
        <v>0.19120000000000001</v>
      </c>
      <c r="R147" s="1">
        <v>-0.21099999999999999</v>
      </c>
      <c r="S147" s="1">
        <v>1.6199999999999999E-2</v>
      </c>
      <c r="T147" s="1">
        <v>1.8903000000000001</v>
      </c>
      <c r="U147" s="1">
        <v>2.7805</v>
      </c>
      <c r="V147" s="1">
        <v>1.8479000000000001</v>
      </c>
      <c r="W147" s="1">
        <v>100.7</v>
      </c>
      <c r="X147" s="1">
        <v>1</v>
      </c>
      <c r="Y147" s="1">
        <v>1.5344</v>
      </c>
      <c r="Z147" s="1"/>
      <c r="AA147" s="1">
        <v>0.21679999999999999</v>
      </c>
      <c r="AB147" s="1">
        <v>-0.41310000000000002</v>
      </c>
      <c r="AC147" s="1">
        <v>0.2024</v>
      </c>
      <c r="AD147" s="1">
        <v>3.8422000000000001</v>
      </c>
      <c r="AE147" s="1">
        <v>5.0022000000000002</v>
      </c>
      <c r="AF147" s="1">
        <v>2.1953</v>
      </c>
    </row>
    <row r="148" spans="1:32" ht="11.25" x14ac:dyDescent="0.2">
      <c r="A148" s="1">
        <v>135</v>
      </c>
      <c r="B148" s="1">
        <v>1</v>
      </c>
      <c r="C148" s="1">
        <v>25</v>
      </c>
      <c r="D148" s="1">
        <v>1</v>
      </c>
      <c r="E148" s="1">
        <v>2.0722</v>
      </c>
      <c r="F148" s="1">
        <v>0.7833</v>
      </c>
      <c r="G148" s="1">
        <v>0.22309999999999999</v>
      </c>
      <c r="H148" s="1">
        <v>-0.23930000000000001</v>
      </c>
      <c r="I148" s="1">
        <v>6.9999999999999999E-4</v>
      </c>
      <c r="J148" s="1">
        <v>3.7208999999999999</v>
      </c>
      <c r="K148" s="1">
        <v>3.9291999999999998</v>
      </c>
      <c r="L148" s="1">
        <v>1.9642999999999999</v>
      </c>
      <c r="M148" s="1">
        <v>-55.1</v>
      </c>
      <c r="N148" s="1">
        <v>1</v>
      </c>
      <c r="O148" s="1">
        <v>2.5118999999999998</v>
      </c>
      <c r="P148" s="1">
        <v>0.90039999999999998</v>
      </c>
      <c r="Q148" s="1">
        <v>0.3977</v>
      </c>
      <c r="R148" s="1">
        <v>-0.41820000000000002</v>
      </c>
      <c r="S148" s="1">
        <v>1.5299999999999999E-2</v>
      </c>
      <c r="T148" s="1">
        <v>1.9245000000000001</v>
      </c>
      <c r="U148" s="1">
        <v>2.8233999999999999</v>
      </c>
      <c r="V148" s="1">
        <v>1.792</v>
      </c>
      <c r="W148" s="1">
        <v>100.8</v>
      </c>
      <c r="X148" s="1">
        <v>1</v>
      </c>
      <c r="Y148" s="1">
        <v>1.5482</v>
      </c>
      <c r="Z148" s="1"/>
      <c r="AA148" s="1">
        <v>0.2293</v>
      </c>
      <c r="AB148" s="1">
        <v>-0.34360000000000002</v>
      </c>
      <c r="AC148" s="1">
        <v>0.20530000000000001</v>
      </c>
      <c r="AD148" s="1">
        <v>3.9386999999999999</v>
      </c>
      <c r="AE148" s="1">
        <v>5.1140999999999996</v>
      </c>
      <c r="AF148" s="1">
        <v>2.1381999999999999</v>
      </c>
    </row>
    <row r="149" spans="1:32" ht="11.25" x14ac:dyDescent="0.2">
      <c r="A149" s="1">
        <v>136</v>
      </c>
      <c r="B149" s="1">
        <v>1</v>
      </c>
      <c r="C149" s="1">
        <v>25</v>
      </c>
      <c r="D149" s="1">
        <v>1</v>
      </c>
      <c r="E149" s="1">
        <v>2.0007000000000001</v>
      </c>
      <c r="F149" s="1">
        <v>0.77890000000000004</v>
      </c>
      <c r="G149" s="1">
        <v>0.1535</v>
      </c>
      <c r="H149" s="1">
        <v>-0.27760000000000001</v>
      </c>
      <c r="I149" s="1">
        <v>1.2999999999999999E-3</v>
      </c>
      <c r="J149" s="1">
        <v>3.5668000000000002</v>
      </c>
      <c r="K149" s="1">
        <v>3.8464</v>
      </c>
      <c r="L149" s="1">
        <v>2.1288999999999998</v>
      </c>
      <c r="M149" s="1">
        <v>-55.1</v>
      </c>
      <c r="N149" s="1">
        <v>1</v>
      </c>
      <c r="O149" s="1">
        <v>2.4228000000000001</v>
      </c>
      <c r="P149" s="1">
        <v>0.89849999999999997</v>
      </c>
      <c r="Q149" s="1">
        <v>0.247</v>
      </c>
      <c r="R149" s="1">
        <v>-0.24279999999999999</v>
      </c>
      <c r="S149" s="1">
        <v>1.66E-2</v>
      </c>
      <c r="T149" s="1">
        <v>1.8936999999999999</v>
      </c>
      <c r="U149" s="1">
        <v>2.7624</v>
      </c>
      <c r="V149" s="1">
        <v>1.9522999999999999</v>
      </c>
      <c r="W149" s="1">
        <v>100.8</v>
      </c>
      <c r="X149" s="1">
        <v>1</v>
      </c>
      <c r="Y149" s="1">
        <v>1.4944999999999999</v>
      </c>
      <c r="Z149" s="1"/>
      <c r="AA149" s="1">
        <v>0.3357</v>
      </c>
      <c r="AB149" s="1">
        <v>-0.46410000000000001</v>
      </c>
      <c r="AC149" s="1">
        <v>0.20100000000000001</v>
      </c>
      <c r="AD149" s="1">
        <v>3.8824000000000001</v>
      </c>
      <c r="AE149" s="1">
        <v>4.9893000000000001</v>
      </c>
      <c r="AF149" s="1">
        <v>2.3108</v>
      </c>
    </row>
    <row r="150" spans="1:32" ht="11.25" x14ac:dyDescent="0.2">
      <c r="A150" s="1">
        <v>137</v>
      </c>
      <c r="B150" s="1">
        <v>1</v>
      </c>
      <c r="C150" s="1">
        <v>25</v>
      </c>
      <c r="D150" s="1">
        <v>1</v>
      </c>
      <c r="E150" s="1">
        <v>1.9888999999999999</v>
      </c>
      <c r="F150" s="1">
        <v>0.77859999999999996</v>
      </c>
      <c r="G150" s="1">
        <v>0.3206</v>
      </c>
      <c r="H150" s="1">
        <v>-0.45679999999999998</v>
      </c>
      <c r="I150" s="1">
        <v>1E-3</v>
      </c>
      <c r="J150" s="1">
        <v>3.4729000000000001</v>
      </c>
      <c r="K150" s="1">
        <v>3.7616999999999998</v>
      </c>
      <c r="L150" s="1">
        <v>2.1768000000000001</v>
      </c>
      <c r="M150" s="1">
        <v>-55.1</v>
      </c>
      <c r="N150" s="1">
        <v>1</v>
      </c>
      <c r="O150" s="1">
        <v>2.4196</v>
      </c>
      <c r="P150" s="1">
        <v>0.89629999999999999</v>
      </c>
      <c r="Q150" s="1">
        <v>0.25850000000000001</v>
      </c>
      <c r="R150" s="1">
        <v>-0.4052</v>
      </c>
      <c r="S150" s="1">
        <v>1.6899999999999998E-2</v>
      </c>
      <c r="T150" s="1">
        <v>1.8452999999999999</v>
      </c>
      <c r="U150" s="1">
        <v>2.7094</v>
      </c>
      <c r="V150" s="1">
        <v>2.0013999999999998</v>
      </c>
      <c r="W150" s="1">
        <v>100.4</v>
      </c>
      <c r="X150" s="1">
        <v>1</v>
      </c>
      <c r="Y150" s="1">
        <v>1.4839</v>
      </c>
      <c r="Z150" s="1"/>
      <c r="AA150" s="1">
        <v>0.2717</v>
      </c>
      <c r="AB150" s="1">
        <v>-0.29210000000000003</v>
      </c>
      <c r="AC150" s="1">
        <v>0.20399999999999999</v>
      </c>
      <c r="AD150" s="1">
        <v>3.9510000000000001</v>
      </c>
      <c r="AE150" s="1">
        <v>4.9660000000000002</v>
      </c>
      <c r="AF150" s="1">
        <v>2.3580000000000001</v>
      </c>
    </row>
    <row r="151" spans="1:32" ht="11.25" x14ac:dyDescent="0.2">
      <c r="A151" s="1">
        <v>138</v>
      </c>
      <c r="B151" s="1">
        <v>1</v>
      </c>
      <c r="C151" s="1">
        <v>24.5</v>
      </c>
      <c r="D151" s="1">
        <v>1</v>
      </c>
      <c r="E151" s="1">
        <v>2.1288</v>
      </c>
      <c r="F151" s="1">
        <v>0.7863</v>
      </c>
      <c r="G151" s="1">
        <v>0.39229999999999998</v>
      </c>
      <c r="H151" s="1">
        <v>-0.30370000000000003</v>
      </c>
      <c r="I151" s="1">
        <v>1E-3</v>
      </c>
      <c r="J151" s="1">
        <v>3.6694</v>
      </c>
      <c r="K151" s="1">
        <v>3.9415</v>
      </c>
      <c r="L151" s="1">
        <v>1.9702999999999999</v>
      </c>
      <c r="M151" s="1">
        <v>-55.1</v>
      </c>
      <c r="N151" s="1">
        <v>1</v>
      </c>
      <c r="O151" s="1">
        <v>2.593</v>
      </c>
      <c r="P151" s="1">
        <v>0.90249999999999997</v>
      </c>
      <c r="Q151" s="1">
        <v>0.1799</v>
      </c>
      <c r="R151" s="1">
        <v>-0.30130000000000001</v>
      </c>
      <c r="S151" s="1">
        <v>1.6400000000000001E-2</v>
      </c>
      <c r="T151" s="1">
        <v>1.8959999999999999</v>
      </c>
      <c r="U151" s="1">
        <v>2.8683999999999998</v>
      </c>
      <c r="V151" s="1">
        <v>1.8008999999999999</v>
      </c>
      <c r="W151" s="1">
        <v>101.2</v>
      </c>
      <c r="X151" s="1">
        <v>1</v>
      </c>
      <c r="Y151" s="1">
        <v>1.5759000000000001</v>
      </c>
      <c r="Z151" s="1"/>
      <c r="AA151" s="1">
        <v>0.2172</v>
      </c>
      <c r="AB151" s="1">
        <v>-0.34300000000000003</v>
      </c>
      <c r="AC151" s="1">
        <v>0.18229999999999999</v>
      </c>
      <c r="AD151" s="1">
        <v>3.9575999999999998</v>
      </c>
      <c r="AE151" s="1">
        <v>5.0911</v>
      </c>
      <c r="AF151" s="1">
        <v>2.1461000000000001</v>
      </c>
    </row>
    <row r="152" spans="1:32" ht="11.25" x14ac:dyDescent="0.2">
      <c r="A152" s="1">
        <v>139</v>
      </c>
      <c r="B152" s="1">
        <v>1</v>
      </c>
      <c r="C152" s="1">
        <v>25.2</v>
      </c>
      <c r="D152" s="1">
        <v>1</v>
      </c>
      <c r="E152" s="1">
        <v>2.1840000000000002</v>
      </c>
      <c r="F152" s="1">
        <v>0.78449999999999998</v>
      </c>
      <c r="G152" s="1">
        <v>0.38440000000000002</v>
      </c>
      <c r="H152" s="1">
        <v>-0.35360000000000003</v>
      </c>
      <c r="I152" s="1">
        <v>1.1999999999999999E-3</v>
      </c>
      <c r="J152" s="1">
        <v>3.4853999999999998</v>
      </c>
      <c r="K152" s="1">
        <v>3.8346</v>
      </c>
      <c r="L152" s="1">
        <v>1.8075000000000001</v>
      </c>
      <c r="M152" s="1">
        <v>-55.2</v>
      </c>
      <c r="N152" s="1">
        <v>1</v>
      </c>
      <c r="O152" s="1">
        <v>2.6556000000000002</v>
      </c>
      <c r="P152" s="1">
        <v>0.90139999999999998</v>
      </c>
      <c r="Q152" s="1">
        <v>0.2707</v>
      </c>
      <c r="R152" s="1">
        <v>-0.24260000000000001</v>
      </c>
      <c r="S152" s="1">
        <v>1.6299999999999999E-2</v>
      </c>
      <c r="T152" s="1">
        <v>1.7835000000000001</v>
      </c>
      <c r="U152" s="1">
        <v>2.7604000000000002</v>
      </c>
      <c r="V152" s="1">
        <v>1.6444000000000001</v>
      </c>
      <c r="W152" s="1">
        <v>100.3</v>
      </c>
      <c r="X152" s="1">
        <v>1</v>
      </c>
      <c r="Y152" s="1">
        <v>1.6454</v>
      </c>
      <c r="Z152" s="1"/>
      <c r="AA152" s="1">
        <v>0.23599999999999999</v>
      </c>
      <c r="AB152" s="1">
        <v>-0.25740000000000002</v>
      </c>
      <c r="AC152" s="1">
        <v>0.1777</v>
      </c>
      <c r="AD152" s="1">
        <v>3.7639999999999998</v>
      </c>
      <c r="AE152" s="1">
        <v>4.9561000000000002</v>
      </c>
      <c r="AF152" s="1">
        <v>1.9717</v>
      </c>
    </row>
    <row r="153" spans="1:32" ht="11.25" x14ac:dyDescent="0.2">
      <c r="A153" s="1">
        <v>140</v>
      </c>
      <c r="B153" s="1">
        <v>1</v>
      </c>
      <c r="C153" s="1">
        <v>25.1</v>
      </c>
      <c r="D153" s="1">
        <v>1</v>
      </c>
      <c r="E153" s="1">
        <v>2.0695999999999999</v>
      </c>
      <c r="F153" s="1">
        <v>0.78300000000000003</v>
      </c>
      <c r="G153" s="1">
        <v>0.41199999999999998</v>
      </c>
      <c r="H153" s="1">
        <v>-0.45469999999999999</v>
      </c>
      <c r="I153" s="1">
        <v>1.1000000000000001E-3</v>
      </c>
      <c r="J153" s="1">
        <v>3.5958000000000001</v>
      </c>
      <c r="K153" s="1">
        <v>3.7724000000000002</v>
      </c>
      <c r="L153" s="1">
        <v>1.8492999999999999</v>
      </c>
      <c r="M153" s="1">
        <v>-55.1</v>
      </c>
      <c r="N153" s="1">
        <v>1</v>
      </c>
      <c r="O153" s="1">
        <v>2.5261999999999998</v>
      </c>
      <c r="P153" s="1">
        <v>0.90139999999999998</v>
      </c>
      <c r="Q153" s="1">
        <v>0.16689999999999999</v>
      </c>
      <c r="R153" s="1">
        <v>-0.25309999999999999</v>
      </c>
      <c r="S153" s="1">
        <v>1.5699999999999999E-2</v>
      </c>
      <c r="T153" s="1">
        <v>1.8027</v>
      </c>
      <c r="U153" s="1">
        <v>2.7631000000000001</v>
      </c>
      <c r="V153" s="1">
        <v>1.6845000000000001</v>
      </c>
      <c r="W153" s="1">
        <v>100.8</v>
      </c>
      <c r="X153" s="1">
        <v>1</v>
      </c>
      <c r="Y153" s="1">
        <v>1.5325</v>
      </c>
      <c r="Z153" s="1"/>
      <c r="AA153" s="1">
        <v>0.39279999999999998</v>
      </c>
      <c r="AB153" s="1">
        <v>-0.48830000000000001</v>
      </c>
      <c r="AC153" s="1">
        <v>0.21329999999999999</v>
      </c>
      <c r="AD153" s="1">
        <v>3.9752999999999998</v>
      </c>
      <c r="AE153" s="1">
        <v>4.9370000000000003</v>
      </c>
      <c r="AF153" s="1">
        <v>2.0204</v>
      </c>
    </row>
    <row r="154" spans="1:32" ht="11.25" x14ac:dyDescent="0.2">
      <c r="A154" s="1">
        <v>141</v>
      </c>
      <c r="B154" s="1">
        <v>1</v>
      </c>
      <c r="C154" s="1">
        <v>25.1</v>
      </c>
      <c r="D154" s="1">
        <v>1</v>
      </c>
      <c r="E154" s="1">
        <v>1.9835</v>
      </c>
      <c r="F154" s="1">
        <v>0.7792</v>
      </c>
      <c r="G154" s="1">
        <v>0.41410000000000002</v>
      </c>
      <c r="H154" s="1">
        <v>-0.4456</v>
      </c>
      <c r="I154" s="1">
        <v>8.9999999999999998E-4</v>
      </c>
      <c r="J154" s="1">
        <v>3.5577000000000001</v>
      </c>
      <c r="K154" s="1">
        <v>3.7448999999999999</v>
      </c>
      <c r="L154" s="1">
        <v>1.9377</v>
      </c>
      <c r="M154" s="1">
        <v>-55.1</v>
      </c>
      <c r="N154" s="1">
        <v>1</v>
      </c>
      <c r="O154" s="1">
        <v>2.3893</v>
      </c>
      <c r="P154" s="1">
        <v>0.89810000000000001</v>
      </c>
      <c r="Q154" s="1">
        <v>0.23719999999999999</v>
      </c>
      <c r="R154" s="1">
        <v>-0.2215</v>
      </c>
      <c r="S154" s="1">
        <v>1.7000000000000001E-2</v>
      </c>
      <c r="T154" s="1">
        <v>1.8829</v>
      </c>
      <c r="U154" s="1">
        <v>2.6941000000000002</v>
      </c>
      <c r="V154" s="1">
        <v>1.7694000000000001</v>
      </c>
      <c r="W154" s="1">
        <v>100.4</v>
      </c>
      <c r="X154" s="1">
        <v>1</v>
      </c>
      <c r="Y154" s="1">
        <v>1.4952000000000001</v>
      </c>
      <c r="Z154" s="1"/>
      <c r="AA154" s="1">
        <v>0.20899999999999999</v>
      </c>
      <c r="AB154" s="1">
        <v>-0.31219999999999998</v>
      </c>
      <c r="AC154" s="1">
        <v>0.2102</v>
      </c>
      <c r="AD154" s="1">
        <v>3.7924000000000002</v>
      </c>
      <c r="AE154" s="1">
        <v>4.9054000000000002</v>
      </c>
      <c r="AF154" s="1">
        <v>2.1183999999999998</v>
      </c>
    </row>
  </sheetData>
  <conditionalFormatting sqref="A24">
    <cfRule type="duplicateValues" dxfId="5" priority="5"/>
  </conditionalFormatting>
  <conditionalFormatting sqref="A25 A19:A23 A27:A30 A32:A76 A78:A88 A90:A49974">
    <cfRule type="duplicateValues" dxfId="4" priority="6"/>
  </conditionalFormatting>
  <conditionalFormatting sqref="A26">
    <cfRule type="duplicateValues" dxfId="3" priority="4"/>
  </conditionalFormatting>
  <conditionalFormatting sqref="A31">
    <cfRule type="duplicateValues" dxfId="2" priority="3"/>
  </conditionalFormatting>
  <conditionalFormatting sqref="A77">
    <cfRule type="duplicateValues" dxfId="1" priority="2"/>
  </conditionalFormatting>
  <conditionalFormatting sqref="A8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PLabel_OCI xmlns="f7ea238a-2be3-45c9-b5ef-b71a10f830d6" xsi:nil="true"/>
    <TaxKeywordTaxHTField xmlns="a33507de-af03-4e66-a581-ed701e73ddaa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Unrestricted</TermName>
          <TermId xmlns="http://schemas.microsoft.com/office/infopath/2007/PartnerControls">70316ec3-66fc-49ab-8e57-7fe1d4753415</TermId>
        </TermInfo>
      </Terms>
    </TaxKeywordTaxHTField>
    <IconOverlay xmlns="http://schemas.microsoft.com/sharepoint/v4" xsi:nil="true"/>
    <SIPLabel_ECICountry xmlns="f7ea238a-2be3-45c9-b5ef-b71a10f830d6"/>
    <SIPLabel_TPPI xmlns="f7ea238a-2be3-45c9-b5ef-b71a10f830d6" xsi:nil="true"/>
    <SIPLabel_Specialty xmlns="a33507de-af03-4e66-a581-ed701e73ddaa"/>
    <TaxCatchAll xmlns="a33507de-af03-4e66-a581-ed701e73ddaa">
      <Value>60</Value>
    </TaxCatchAll>
    <SIPLabel xmlns="f7ea238a-2be3-45c9-b5ef-b71a10f830d6">
      <Value>Unrestricted</Value>
    </SIPLabe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918F8D37C29F44A160DBA53CED15F7" ma:contentTypeVersion="7" ma:contentTypeDescription="Create a new document." ma:contentTypeScope="" ma:versionID="a5109bfbc98fca10d51be94820d5b172">
  <xsd:schema xmlns:xsd="http://www.w3.org/2001/XMLSchema" xmlns:xs="http://www.w3.org/2001/XMLSchema" xmlns:p="http://schemas.microsoft.com/office/2006/metadata/properties" xmlns:ns2="a33507de-af03-4e66-a581-ed701e73ddaa" xmlns:ns3="http://schemas.microsoft.com/sharepoint/v4" xmlns:ns4="f7ea238a-2be3-45c9-b5ef-b71a10f830d6" targetNamespace="http://schemas.microsoft.com/office/2006/metadata/properties" ma:root="true" ma:fieldsID="a688da3902200cef92b0381f3957d6a7" ns2:_="" ns3:_="" ns4:_="">
    <xsd:import namespace="a33507de-af03-4e66-a581-ed701e73ddaa"/>
    <xsd:import namespace="http://schemas.microsoft.com/sharepoint/v4"/>
    <xsd:import namespace="f7ea238a-2be3-45c9-b5ef-b71a10f830d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IconOverlay" minOccurs="0"/>
                <xsd:element ref="ns4:SIPLabel" minOccurs="0"/>
                <xsd:element ref="ns4:SIPLabel_ECICountry" minOccurs="0"/>
                <xsd:element ref="ns4:SIPLabel_OCI" minOccurs="0"/>
                <xsd:element ref="ns4:SIPLabel_TPPI" minOccurs="0"/>
                <xsd:element ref="ns2:SIPLabel_Specialty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507de-af03-4e66-a581-ed701e73dda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Enterprise Keywords" ma:fieldId="{23f27201-bee3-471e-b2e7-b64fd8b7ca38}" ma:taxonomyMulti="true" ma:sspId="a350e3fd-da7c-4658-bf01-e6a539f87ca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cfb0267e-eb4e-48d1-a9dc-f7efb1c5d7bb}" ma:internalName="TaxCatchAll" ma:showField="CatchAllData" ma:web="a33507de-af03-4e66-a581-ed701e73d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IPLabel_Specialty" ma:index="16" nillable="true" ma:displayName="Specialty Label" ma:internalName="SIPLabel_Specialt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ntrolled Unclassified Information"/>
                    <xsd:enumeration value="For Official Use Only"/>
                    <xsd:enumeration value="Law Enforcement Sensitive"/>
                    <xsd:enumeration value="UK OFFICIAL"/>
                    <xsd:enumeration value="UK OFFICIAL-SENSITIV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a238a-2be3-45c9-b5ef-b71a10f830d6" elementFormDefault="qualified">
    <xsd:import namespace="http://schemas.microsoft.com/office/2006/documentManagement/types"/>
    <xsd:import namespace="http://schemas.microsoft.com/office/infopath/2007/PartnerControls"/>
    <xsd:element name="SIPLabel" ma:index="12" nillable="true" ma:displayName="Sensitive Information Protection (SIP) Label" ma:internalName="SIPLabel" ma:readOnly="fals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Unrestricted"/>
                    <xsd:enumeration value="Lockheed Martin Proprietary Information (LMPI)"/>
                    <xsd:enumeration value="Export Controlled Information (ECI)"/>
                    <xsd:enumeration value="Attorney-Client Privileged Information and/or Attorney Work Product"/>
                    <xsd:enumeration value="Protected Information"/>
                    <xsd:enumeration value="Personal Information"/>
                    <xsd:enumeration value="Third Party Proprietary Information"/>
                    <xsd:enumeration value="Organizational Conflict of Interest (OCI)"/>
                    <xsd:enumeration value="Specialty Label"/>
                  </xsd:restriction>
                </xsd:simpleType>
              </xsd:element>
            </xsd:sequence>
          </xsd:extension>
        </xsd:complexContent>
      </xsd:complexType>
    </xsd:element>
    <xsd:element name="SIPLabel_ECICountry" ma:index="13" nillable="true" ma:displayName="Export Control Country of Jurisdiction" ma:internalName="SIPLabel_ECICountr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United States (US)"/>
                    <xsd:enumeration value="Canada (CA)"/>
                    <xsd:enumeration value="United Kingdom (GB)"/>
                    <xsd:enumeration value="Australia (AU)"/>
                    <xsd:enumeration value="Albania (AL)"/>
                    <xsd:enumeration value="Argentina (AR)"/>
                    <xsd:enumeration value="Bahrain (BH)"/>
                    <xsd:enumeration value="Belgium (BE)"/>
                    <xsd:enumeration value="Brazil (BR)"/>
                    <xsd:enumeration value="China (CN)"/>
                    <xsd:enumeration value="Colombia (CO)"/>
                    <xsd:enumeration value="Croatia (HR)"/>
                    <xsd:enumeration value="Denmark (DK)"/>
                    <xsd:enumeration value="Egypt (EG)"/>
                    <xsd:enumeration value="Finland (FI)"/>
                    <xsd:enumeration value="France (FR)"/>
                    <xsd:enumeration value="Germany (DE)"/>
                    <xsd:enumeration value="Greece (GR)"/>
                    <xsd:enumeration value="Guam (GU)"/>
                    <xsd:enumeration value="Hong Kong (HK)"/>
                    <xsd:enumeration value="India (IN)"/>
                    <xsd:enumeration value="Israel (IL)"/>
                    <xsd:enumeration value="Italy (IT)"/>
                    <xsd:enumeration value="Japan (JP)"/>
                    <xsd:enumeration value="Korea, Republic of (KR)"/>
                    <xsd:enumeration value="Kuwait (KW)"/>
                    <xsd:enumeration value="Malaysia (MY)"/>
                    <xsd:enumeration value="Mauritius (MU)"/>
                    <xsd:enumeration value="Mexico (MX)"/>
                    <xsd:enumeration value="Netherlands (NL)"/>
                    <xsd:enumeration value="New Zealand (NZ)"/>
                    <xsd:enumeration value="Norway (NO)"/>
                    <xsd:enumeration value="Philippines (PH)"/>
                    <xsd:enumeration value="Poland (PL)"/>
                    <xsd:enumeration value="Portugal (PT)"/>
                    <xsd:enumeration value="Puerto Rico (PR)"/>
                    <xsd:enumeration value="Romania (RO)"/>
                    <xsd:enumeration value="Saudi Arabia (SA)"/>
                    <xsd:enumeration value="Singapore (SG)"/>
                    <xsd:enumeration value="South Africa (ZA)"/>
                    <xsd:enumeration value="Spain (ES)"/>
                    <xsd:enumeration value="Sweden (SE)"/>
                    <xsd:enumeration value="Switzerland (CH)"/>
                    <xsd:enumeration value="Taiwan, Province of China (TW)"/>
                    <xsd:enumeration value="Thailand (TH)"/>
                    <xsd:enumeration value="Turkey (TR)"/>
                    <xsd:enumeration value="United Arab Emirates (AE)"/>
                    <xsd:enumeration value="Venezuela (VE)"/>
                    <xsd:enumeration value="Viet Nam (VN)"/>
                  </xsd:restriction>
                </xsd:simpleType>
              </xsd:element>
            </xsd:sequence>
          </xsd:extension>
        </xsd:complexContent>
      </xsd:complexType>
    </xsd:element>
    <xsd:element name="SIPLabel_OCI" ma:index="14" nillable="true" ma:displayName="Organizational Conflict of Interest" ma:internalName="SIPLabel_OCI" ma:readOnly="false">
      <xsd:simpleType>
        <xsd:restriction base="dms:Text"/>
      </xsd:simpleType>
    </xsd:element>
    <xsd:element name="SIPLabel_TPPI" ma:index="15" nillable="true" ma:displayName="Third Party" ma:internalName="SIPLabel_TPPI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CB8652-68EE-4CA2-857E-617616A82EA6}">
  <ds:schemaRefs>
    <ds:schemaRef ds:uri="http://schemas.microsoft.com/office/2006/metadata/properties"/>
    <ds:schemaRef ds:uri="http://schemas.microsoft.com/office/infopath/2007/PartnerControls"/>
    <ds:schemaRef ds:uri="f7ea238a-2be3-45c9-b5ef-b71a10f830d6"/>
    <ds:schemaRef ds:uri="a33507de-af03-4e66-a581-ed701e73ddaa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A367107B-761D-4F97-9C3D-23E93DF99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507de-af03-4e66-a581-ed701e73ddaa"/>
    <ds:schemaRef ds:uri="http://schemas.microsoft.com/sharepoint/v4"/>
    <ds:schemaRef ds:uri="f7ea238a-2be3-45c9-b5ef-b71a10f830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7BDE24-4F15-414E-8296-F22EAEADFC0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717d80d-b29e-4564-bcc8-1d711dae1c3a}" enabled="1" method="Privilege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E1</vt:lpstr>
      <vt:lpstr>E3</vt:lpstr>
      <vt:lpstr>E5</vt:lpstr>
      <vt:lpstr>E6</vt:lpstr>
      <vt:lpstr>E7</vt:lpstr>
      <vt:lpstr>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cjw_cat1</dc:creator>
  <cp:keywords>aecs=US|529|EC|EC|P|Y</cp:keywords>
  <cp:lastModifiedBy>McConnell, Tim</cp:lastModifiedBy>
  <dcterms:created xsi:type="dcterms:W3CDTF">2019-09-03T22:55:27Z</dcterms:created>
  <dcterms:modified xsi:type="dcterms:W3CDTF">2025-12-12T17:18:08Z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ACCT02\wenskec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>_x000d_
_x000d_
</vt:lpwstr>
  </property>
  <property fmtid="{D5CDD505-2E9C-101B-9397-08002B2CF9AE}" pid="12" name="ExpCountry">
    <vt:lpwstr/>
  </property>
  <property fmtid="{D5CDD505-2E9C-101B-9397-08002B2CF9AE}" pid="13" name="ContentTypeId">
    <vt:lpwstr>0x01010005918F8D37C29F44A160DBA53CED15F7</vt:lpwstr>
  </property>
  <property fmtid="{D5CDD505-2E9C-101B-9397-08002B2CF9AE}" pid="14" name="TaxKeyword">
    <vt:lpwstr>60;#Unrestricted|70316ec3-66fc-49ab-8e57-7fe1d4753415</vt:lpwstr>
  </property>
</Properties>
</file>